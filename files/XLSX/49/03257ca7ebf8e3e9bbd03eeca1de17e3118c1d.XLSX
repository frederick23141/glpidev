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https://corsansa-my.sharepoint.com/personal/valentina_villa_corsan_com_co/Documents/Documentos/"/>
    </mc:Choice>
  </mc:AlternateContent>
  <xr:revisionPtr revIDLastSave="0" documentId="8_{255D9652-E2B8-47FB-A81A-C1442DE0BF96}" xr6:coauthVersionLast="47" xr6:coauthVersionMax="47" xr10:uidLastSave="{00000000-0000-0000-0000-000000000000}"/>
  <bookViews>
    <workbookView xWindow="-120" yWindow="-120" windowWidth="20730" windowHeight="11040" xr2:uid="{ADE6E32E-78F1-4053-863E-7E6ABDC2752C}"/>
  </bookViews>
  <sheets>
    <sheet name="B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J351" i="1" l="1"/>
  <c r="AP335" i="1"/>
  <c r="AP307" i="1"/>
  <c r="AJ289" i="1"/>
  <c r="AK289" i="1" s="1"/>
  <c r="AJ288" i="1"/>
  <c r="AK288" i="1" s="1"/>
  <c r="AK287" i="1"/>
  <c r="AJ287" i="1"/>
  <c r="AJ286" i="1"/>
  <c r="AK286" i="1" s="1"/>
  <c r="AJ285" i="1"/>
  <c r="AK285" i="1" s="1"/>
  <c r="AK284" i="1"/>
  <c r="AJ284" i="1"/>
  <c r="AK283" i="1"/>
  <c r="AJ283" i="1"/>
  <c r="AK282" i="1"/>
  <c r="AJ282" i="1"/>
  <c r="AJ281" i="1"/>
  <c r="AK281" i="1" s="1"/>
  <c r="AK280" i="1"/>
  <c r="AJ280" i="1"/>
  <c r="AK279" i="1"/>
  <c r="AJ279" i="1"/>
  <c r="AK278" i="1"/>
  <c r="AJ278" i="1"/>
  <c r="AJ277" i="1"/>
  <c r="AK277" i="1" s="1"/>
  <c r="AK276" i="1"/>
  <c r="AJ276" i="1"/>
  <c r="AK275" i="1"/>
  <c r="AJ275" i="1"/>
  <c r="AK274" i="1"/>
  <c r="AJ274" i="1"/>
  <c r="AJ273" i="1"/>
  <c r="AK273" i="1" s="1"/>
  <c r="AK272" i="1"/>
  <c r="AJ272" i="1"/>
  <c r="AK271" i="1"/>
  <c r="AJ271" i="1"/>
  <c r="AK270" i="1"/>
  <c r="AJ270" i="1"/>
  <c r="AJ269" i="1"/>
  <c r="AK269" i="1" s="1"/>
  <c r="AK268" i="1"/>
  <c r="AJ268" i="1"/>
  <c r="AK267" i="1"/>
  <c r="AJ267" i="1"/>
  <c r="AK266" i="1"/>
  <c r="AJ266" i="1"/>
  <c r="AJ265" i="1"/>
  <c r="AK265" i="1" s="1"/>
  <c r="AK264" i="1"/>
  <c r="AJ264" i="1"/>
  <c r="AK263" i="1"/>
  <c r="AJ263" i="1"/>
  <c r="AK262" i="1"/>
  <c r="AJ262" i="1"/>
  <c r="AJ261" i="1"/>
  <c r="AK261" i="1" s="1"/>
  <c r="AK260" i="1"/>
  <c r="AJ260" i="1"/>
  <c r="AK259" i="1"/>
  <c r="AJ259" i="1"/>
  <c r="AK258" i="1"/>
  <c r="AJ258" i="1"/>
  <c r="AJ257" i="1"/>
  <c r="AK257" i="1" s="1"/>
  <c r="AK256" i="1"/>
  <c r="AJ256" i="1"/>
  <c r="AK255" i="1"/>
  <c r="AJ255" i="1"/>
  <c r="AK254" i="1"/>
  <c r="AJ254" i="1"/>
  <c r="AJ253" i="1"/>
  <c r="AK253" i="1" s="1"/>
  <c r="AK252" i="1"/>
  <c r="AJ252" i="1"/>
  <c r="AK251" i="1"/>
  <c r="AJ251" i="1"/>
  <c r="AK250" i="1"/>
  <c r="AJ250" i="1"/>
  <c r="AJ249" i="1"/>
  <c r="AK249" i="1" s="1"/>
  <c r="AK248" i="1"/>
  <c r="AJ248" i="1"/>
  <c r="AK247" i="1"/>
  <c r="AJ247" i="1"/>
  <c r="AK246" i="1"/>
  <c r="AJ246" i="1"/>
  <c r="AJ245" i="1"/>
  <c r="AK245" i="1" s="1"/>
  <c r="AK244" i="1"/>
  <c r="AJ244" i="1"/>
  <c r="AK243" i="1"/>
  <c r="AJ243" i="1"/>
  <c r="AK242" i="1"/>
  <c r="AJ242" i="1"/>
  <c r="AJ241" i="1"/>
  <c r="AK241" i="1" s="1"/>
  <c r="AK240" i="1"/>
  <c r="AJ240" i="1"/>
  <c r="AK239" i="1"/>
  <c r="AJ239" i="1"/>
  <c r="AK238" i="1"/>
  <c r="AJ238" i="1"/>
  <c r="AJ237" i="1"/>
  <c r="AK237" i="1" s="1"/>
  <c r="AK236" i="1"/>
  <c r="AJ236" i="1"/>
  <c r="AK235" i="1"/>
  <c r="AJ235" i="1"/>
  <c r="AK234" i="1"/>
  <c r="AJ234" i="1"/>
  <c r="AJ233" i="1"/>
  <c r="AK233" i="1" s="1"/>
  <c r="AK232" i="1"/>
  <c r="AJ232" i="1"/>
  <c r="AK231" i="1"/>
  <c r="AJ231" i="1"/>
  <c r="AK230" i="1"/>
  <c r="AJ230" i="1"/>
  <c r="AJ229" i="1"/>
  <c r="AK229" i="1" s="1"/>
  <c r="AK228" i="1"/>
  <c r="AJ228" i="1"/>
  <c r="AK227" i="1"/>
  <c r="AJ227" i="1"/>
  <c r="AK226" i="1"/>
  <c r="AJ226" i="1"/>
  <c r="AJ225" i="1"/>
  <c r="AK225" i="1" s="1"/>
  <c r="AK224" i="1"/>
  <c r="AJ224" i="1"/>
  <c r="AK223" i="1"/>
  <c r="AJ223" i="1"/>
  <c r="AK222" i="1"/>
  <c r="AJ222" i="1"/>
  <c r="AJ221" i="1"/>
  <c r="AK221" i="1" s="1"/>
  <c r="AK220" i="1"/>
  <c r="AJ220" i="1"/>
  <c r="AK219" i="1"/>
  <c r="AJ219" i="1"/>
  <c r="AK218" i="1"/>
  <c r="AJ218" i="1"/>
  <c r="AJ217" i="1"/>
  <c r="AK217" i="1" s="1"/>
  <c r="AK216" i="1"/>
  <c r="AJ216" i="1"/>
  <c r="AK215" i="1"/>
  <c r="AJ215" i="1"/>
  <c r="AK214" i="1"/>
  <c r="AJ214" i="1"/>
  <c r="AJ213" i="1"/>
  <c r="AK213" i="1" s="1"/>
  <c r="AK212" i="1"/>
  <c r="AJ212" i="1"/>
  <c r="AK211" i="1"/>
  <c r="AJ211" i="1"/>
  <c r="AK210" i="1"/>
  <c r="AJ210" i="1"/>
  <c r="AJ209" i="1"/>
  <c r="AK209" i="1" s="1"/>
  <c r="AK208" i="1"/>
  <c r="AJ208" i="1"/>
  <c r="AK207" i="1"/>
  <c r="AJ207" i="1"/>
  <c r="AK206" i="1"/>
  <c r="AJ206" i="1"/>
  <c r="AJ205" i="1"/>
  <c r="AK205" i="1" s="1"/>
  <c r="AK204" i="1"/>
  <c r="AJ204" i="1"/>
  <c r="AK203" i="1"/>
  <c r="AJ203" i="1"/>
  <c r="AK202" i="1"/>
  <c r="AJ202" i="1"/>
  <c r="AJ201" i="1"/>
  <c r="AK201" i="1" s="1"/>
  <c r="AK200" i="1"/>
  <c r="AJ200" i="1"/>
  <c r="AK199" i="1"/>
  <c r="AJ199" i="1"/>
  <c r="AK198" i="1"/>
  <c r="AJ198" i="1"/>
  <c r="AJ197" i="1"/>
  <c r="AK197" i="1" s="1"/>
  <c r="AK196" i="1"/>
  <c r="AJ196" i="1"/>
  <c r="AK195" i="1"/>
  <c r="AJ195" i="1"/>
  <c r="AK194" i="1"/>
  <c r="AJ194" i="1"/>
  <c r="AJ193" i="1"/>
  <c r="AK193" i="1" s="1"/>
  <c r="AK192" i="1"/>
  <c r="AJ192" i="1"/>
  <c r="AK191" i="1"/>
  <c r="AJ191" i="1"/>
  <c r="AK190" i="1"/>
  <c r="AJ190" i="1"/>
  <c r="AJ189" i="1"/>
  <c r="AK189" i="1" s="1"/>
  <c r="AK188" i="1"/>
  <c r="AJ188" i="1"/>
  <c r="AK187" i="1"/>
  <c r="AJ187" i="1"/>
  <c r="AK186" i="1"/>
  <c r="AJ186" i="1"/>
  <c r="AJ185" i="1"/>
  <c r="AK185" i="1" s="1"/>
  <c r="AK184" i="1"/>
  <c r="AJ184" i="1"/>
  <c r="AK183" i="1"/>
  <c r="AJ183" i="1"/>
  <c r="AK182" i="1"/>
  <c r="AJ182" i="1"/>
  <c r="AJ181" i="1"/>
  <c r="AK181" i="1" s="1"/>
  <c r="AK180" i="1"/>
  <c r="AJ180" i="1"/>
  <c r="AK179" i="1"/>
  <c r="AJ179" i="1"/>
  <c r="AK178" i="1"/>
  <c r="AJ178" i="1"/>
  <c r="AJ177" i="1"/>
  <c r="AK177" i="1" s="1"/>
  <c r="AK176" i="1"/>
  <c r="AJ176" i="1"/>
  <c r="AK175" i="1"/>
  <c r="AJ175" i="1"/>
  <c r="AK174" i="1"/>
  <c r="AJ174" i="1"/>
  <c r="AJ173" i="1"/>
  <c r="AK173" i="1" s="1"/>
  <c r="AK172" i="1"/>
  <c r="AJ172" i="1"/>
  <c r="AK171" i="1"/>
  <c r="AJ171" i="1"/>
  <c r="AK170" i="1"/>
  <c r="AJ170" i="1"/>
  <c r="AJ169" i="1"/>
  <c r="AK169" i="1" s="1"/>
  <c r="AK168" i="1"/>
  <c r="AJ168" i="1"/>
  <c r="AK167" i="1"/>
  <c r="AJ167" i="1"/>
  <c r="AK166" i="1"/>
  <c r="AJ166" i="1"/>
  <c r="AJ165" i="1"/>
  <c r="AK165" i="1" s="1"/>
  <c r="AK164" i="1"/>
  <c r="AJ164" i="1"/>
  <c r="AK163" i="1"/>
  <c r="AJ163" i="1"/>
  <c r="AK162" i="1"/>
  <c r="AJ162" i="1"/>
  <c r="AJ161" i="1"/>
  <c r="AK161" i="1" s="1"/>
  <c r="AK160" i="1"/>
  <c r="AJ160" i="1"/>
  <c r="AK159" i="1"/>
  <c r="AJ159" i="1"/>
  <c r="AK158" i="1"/>
  <c r="AJ158" i="1"/>
  <c r="AJ157" i="1"/>
  <c r="AK157" i="1" s="1"/>
  <c r="AK156" i="1"/>
  <c r="AJ156" i="1"/>
  <c r="AK155" i="1"/>
  <c r="AJ155" i="1"/>
  <c r="AK154" i="1"/>
  <c r="AJ154" i="1"/>
  <c r="AJ153" i="1"/>
  <c r="AK153" i="1" s="1"/>
  <c r="AK152" i="1"/>
  <c r="AJ152" i="1"/>
  <c r="AK151" i="1"/>
  <c r="AJ151" i="1"/>
  <c r="AK150" i="1"/>
  <c r="AJ150" i="1"/>
  <c r="AJ149" i="1"/>
  <c r="AK149" i="1" s="1"/>
  <c r="AK148" i="1"/>
  <c r="AJ148" i="1"/>
  <c r="AK147" i="1"/>
  <c r="AJ147" i="1"/>
  <c r="AK146" i="1"/>
  <c r="AJ146" i="1"/>
  <c r="AJ145" i="1"/>
  <c r="AK145" i="1" s="1"/>
  <c r="AK144" i="1"/>
  <c r="AJ144" i="1"/>
  <c r="AK143" i="1"/>
  <c r="AJ143" i="1"/>
  <c r="AK142" i="1"/>
  <c r="AJ142" i="1"/>
  <c r="AJ141" i="1"/>
  <c r="AK141" i="1" s="1"/>
  <c r="AK140" i="1"/>
  <c r="AJ140" i="1"/>
  <c r="AK139" i="1"/>
  <c r="AJ139" i="1"/>
  <c r="AK138" i="1"/>
  <c r="AJ138" i="1"/>
  <c r="AJ137" i="1"/>
  <c r="AK137" i="1" s="1"/>
  <c r="AK136" i="1"/>
  <c r="AJ136" i="1"/>
  <c r="AK135" i="1"/>
  <c r="AJ135" i="1"/>
  <c r="AK134" i="1"/>
  <c r="AJ134" i="1"/>
  <c r="AJ133" i="1"/>
  <c r="AK133" i="1" s="1"/>
  <c r="AK132" i="1"/>
  <c r="AJ132" i="1"/>
  <c r="AK131" i="1"/>
  <c r="AJ131" i="1"/>
  <c r="AK130" i="1"/>
  <c r="AJ130" i="1"/>
  <c r="AJ129" i="1"/>
  <c r="AK129" i="1" s="1"/>
  <c r="AK128" i="1"/>
  <c r="AJ128" i="1"/>
  <c r="AK127" i="1"/>
  <c r="AJ127" i="1"/>
  <c r="AK126" i="1"/>
  <c r="AJ126" i="1"/>
  <c r="AJ125" i="1"/>
  <c r="AK125" i="1" s="1"/>
  <c r="AK124" i="1"/>
  <c r="AJ124" i="1"/>
  <c r="AK123" i="1"/>
  <c r="AJ123" i="1"/>
  <c r="AK122" i="1"/>
  <c r="AJ122" i="1"/>
  <c r="AJ121" i="1"/>
  <c r="AK121" i="1" s="1"/>
  <c r="AK120" i="1"/>
  <c r="AJ120" i="1"/>
  <c r="AK119" i="1"/>
  <c r="AJ119" i="1"/>
  <c r="AK118" i="1"/>
  <c r="AJ118" i="1"/>
  <c r="AJ117" i="1"/>
  <c r="AK117" i="1" s="1"/>
  <c r="AK116" i="1"/>
  <c r="AJ116" i="1"/>
  <c r="AK115" i="1"/>
  <c r="AJ115" i="1"/>
  <c r="AK114" i="1"/>
  <c r="AJ114" i="1"/>
  <c r="AJ113" i="1"/>
  <c r="AK113" i="1" s="1"/>
  <c r="AK112" i="1"/>
  <c r="AJ112" i="1"/>
  <c r="AK111" i="1"/>
  <c r="AJ111" i="1"/>
  <c r="AK110" i="1"/>
  <c r="AJ110" i="1"/>
  <c r="AJ109" i="1"/>
  <c r="AK109" i="1" s="1"/>
  <c r="AK108" i="1"/>
  <c r="AJ108" i="1"/>
  <c r="AK107" i="1"/>
  <c r="AJ107" i="1"/>
  <c r="AK106" i="1"/>
  <c r="AJ106" i="1"/>
  <c r="AJ105" i="1"/>
  <c r="AK105" i="1" s="1"/>
  <c r="AK104" i="1"/>
  <c r="AJ104" i="1"/>
  <c r="AK103" i="1"/>
  <c r="AJ103" i="1"/>
  <c r="AK102" i="1"/>
  <c r="AJ102" i="1"/>
  <c r="AJ101" i="1"/>
  <c r="AK101" i="1" s="1"/>
  <c r="AK100" i="1"/>
  <c r="AJ100" i="1"/>
  <c r="AK99" i="1"/>
  <c r="AJ99" i="1"/>
  <c r="AK98" i="1"/>
  <c r="AJ98" i="1"/>
  <c r="AJ97" i="1"/>
  <c r="AK97" i="1" s="1"/>
  <c r="AK96" i="1"/>
  <c r="AJ96" i="1"/>
  <c r="AK95" i="1"/>
  <c r="AJ95" i="1"/>
  <c r="AK94" i="1"/>
  <c r="AJ94" i="1"/>
  <c r="AJ93" i="1"/>
  <c r="AK93" i="1" s="1"/>
  <c r="AK92" i="1"/>
  <c r="AJ92" i="1"/>
  <c r="AK91" i="1"/>
  <c r="AJ91" i="1"/>
  <c r="AK90" i="1"/>
  <c r="AJ90" i="1"/>
  <c r="AJ89" i="1"/>
  <c r="AK89" i="1" s="1"/>
  <c r="AK88" i="1"/>
  <c r="AJ88" i="1"/>
  <c r="AK87" i="1"/>
  <c r="AJ87" i="1"/>
  <c r="AK86" i="1"/>
  <c r="AJ86" i="1"/>
  <c r="AP85" i="1"/>
  <c r="AJ85" i="1"/>
  <c r="AK85" i="1" s="1"/>
  <c r="AP84" i="1"/>
  <c r="AK84" i="1"/>
  <c r="AJ84" i="1"/>
  <c r="AK83" i="1"/>
  <c r="AJ83" i="1"/>
  <c r="AJ82" i="1"/>
  <c r="AK82" i="1" s="1"/>
  <c r="AK81" i="1"/>
  <c r="AJ81" i="1"/>
  <c r="AK80" i="1"/>
  <c r="AJ80" i="1"/>
  <c r="AK79" i="1"/>
  <c r="AJ79" i="1"/>
  <c r="AJ78" i="1"/>
  <c r="AK78" i="1" s="1"/>
  <c r="AK77" i="1"/>
  <c r="AJ77" i="1"/>
  <c r="AK76" i="1"/>
  <c r="AJ76" i="1"/>
  <c r="AK75" i="1"/>
  <c r="AJ75" i="1"/>
  <c r="AJ74" i="1"/>
  <c r="AK74" i="1" s="1"/>
  <c r="AK73" i="1"/>
  <c r="AJ73" i="1"/>
  <c r="AK72" i="1"/>
  <c r="AJ72" i="1"/>
  <c r="AK71" i="1"/>
  <c r="AJ71" i="1"/>
  <c r="AJ70" i="1"/>
  <c r="AK70" i="1" s="1"/>
  <c r="AK69" i="1"/>
  <c r="AJ69" i="1"/>
  <c r="AK68" i="1"/>
  <c r="AJ68" i="1"/>
  <c r="AK67" i="1"/>
  <c r="AJ67" i="1"/>
  <c r="AJ66" i="1"/>
  <c r="AK66" i="1" s="1"/>
  <c r="AK65" i="1"/>
  <c r="AJ65" i="1"/>
  <c r="AK64" i="1"/>
  <c r="AJ64" i="1"/>
  <c r="AK63" i="1"/>
  <c r="AJ63" i="1"/>
  <c r="AJ62" i="1"/>
  <c r="AK62" i="1" s="1"/>
  <c r="AK61" i="1"/>
  <c r="AJ61" i="1"/>
  <c r="AK60" i="1"/>
  <c r="AJ60" i="1"/>
  <c r="AK59" i="1"/>
  <c r="AJ59" i="1"/>
  <c r="AJ58" i="1"/>
  <c r="AK58" i="1" s="1"/>
  <c r="AK57" i="1"/>
  <c r="AJ57" i="1"/>
  <c r="AK56" i="1"/>
  <c r="AJ56" i="1"/>
  <c r="AK55" i="1"/>
  <c r="AJ55" i="1"/>
  <c r="AJ54" i="1"/>
  <c r="AK54" i="1" s="1"/>
  <c r="AK53" i="1"/>
  <c r="AJ53" i="1"/>
  <c r="AK52" i="1"/>
  <c r="AJ52" i="1"/>
  <c r="AK51" i="1"/>
  <c r="AJ51" i="1"/>
  <c r="AJ50" i="1"/>
  <c r="AK50" i="1" s="1"/>
  <c r="AK49" i="1"/>
  <c r="AJ49" i="1"/>
  <c r="AK48" i="1"/>
  <c r="AJ48" i="1"/>
  <c r="AK47" i="1"/>
  <c r="AJ47" i="1"/>
  <c r="AJ46" i="1"/>
  <c r="AK46" i="1" s="1"/>
  <c r="AK45" i="1"/>
  <c r="AJ45" i="1"/>
  <c r="AK44" i="1"/>
  <c r="AJ44" i="1"/>
  <c r="AK43" i="1"/>
  <c r="AJ43" i="1"/>
  <c r="AJ42" i="1"/>
  <c r="AK42" i="1" s="1"/>
  <c r="AK41" i="1"/>
  <c r="AJ41" i="1"/>
  <c r="AK40" i="1"/>
  <c r="AJ40" i="1"/>
  <c r="AK39" i="1"/>
  <c r="AJ39" i="1"/>
  <c r="AJ38" i="1"/>
  <c r="AK38" i="1" s="1"/>
  <c r="AK37" i="1"/>
  <c r="AJ37" i="1"/>
  <c r="AK36" i="1"/>
  <c r="AJ36" i="1"/>
  <c r="AK35" i="1"/>
  <c r="AJ35" i="1"/>
  <c r="AJ34" i="1"/>
  <c r="AK34" i="1" s="1"/>
  <c r="AK33" i="1"/>
  <c r="AJ33" i="1"/>
  <c r="AK32" i="1"/>
  <c r="AJ32" i="1"/>
  <c r="AK31" i="1"/>
  <c r="AJ31" i="1"/>
  <c r="AJ30" i="1"/>
  <c r="AK30" i="1" s="1"/>
  <c r="AK29" i="1"/>
  <c r="AJ29" i="1"/>
  <c r="AK28" i="1"/>
  <c r="AJ28" i="1"/>
  <c r="AK27" i="1"/>
  <c r="AJ27" i="1"/>
  <c r="AJ26" i="1"/>
  <c r="AK26" i="1" s="1"/>
  <c r="AK25" i="1"/>
  <c r="AJ25" i="1"/>
  <c r="AK24" i="1"/>
  <c r="AJ24" i="1"/>
  <c r="AK23" i="1"/>
  <c r="AJ23" i="1"/>
  <c r="AJ22" i="1"/>
  <c r="AK22" i="1" s="1"/>
  <c r="AK21" i="1"/>
  <c r="AJ21" i="1"/>
  <c r="AK20" i="1"/>
  <c r="AJ20" i="1"/>
  <c r="AK19" i="1"/>
  <c r="AJ19" i="1"/>
  <c r="AJ18" i="1"/>
  <c r="AK18" i="1" s="1"/>
  <c r="AK17" i="1"/>
  <c r="AJ17" i="1"/>
  <c r="AK16" i="1"/>
  <c r="AJ16" i="1"/>
  <c r="AK15" i="1"/>
  <c r="AJ15" i="1"/>
  <c r="AJ14" i="1"/>
  <c r="AK14" i="1" s="1"/>
  <c r="AK13" i="1"/>
  <c r="AJ13" i="1"/>
  <c r="AK12" i="1"/>
  <c r="AJ12" i="1"/>
  <c r="AK11" i="1"/>
  <c r="AJ11" i="1"/>
  <c r="AJ10" i="1"/>
  <c r="AK10" i="1" s="1"/>
  <c r="AK9" i="1"/>
  <c r="AJ9" i="1"/>
  <c r="AK8" i="1"/>
  <c r="AJ8" i="1"/>
  <c r="AK7" i="1"/>
  <c r="AJ7" i="1"/>
  <c r="AJ6" i="1"/>
  <c r="AK6" i="1" s="1"/>
  <c r="AK5" i="1"/>
  <c r="AJ5" i="1"/>
  <c r="AK4" i="1"/>
  <c r="AJ4" i="1"/>
  <c r="AK3" i="1"/>
  <c r="AJ3" i="1"/>
  <c r="AJ2" i="1"/>
  <c r="AK2" i="1" s="1"/>
</calcChain>
</file>

<file path=xl/sharedStrings.xml><?xml version="1.0" encoding="utf-8"?>
<sst xmlns="http://schemas.openxmlformats.org/spreadsheetml/2006/main" count="7958" uniqueCount="2290">
  <si>
    <t>Columna2</t>
  </si>
  <si>
    <t>Mes</t>
  </si>
  <si>
    <t>Nit Cliente</t>
  </si>
  <si>
    <t>Razon Social</t>
  </si>
  <si>
    <t>Nombre Cliente</t>
  </si>
  <si>
    <t>Cedula Solicitante</t>
  </si>
  <si>
    <t>Nombre Solicitante</t>
  </si>
  <si>
    <t>Direccion</t>
  </si>
  <si>
    <t>Municipio</t>
  </si>
  <si>
    <t>Prioridad</t>
  </si>
  <si>
    <t>Area Encargada</t>
  </si>
  <si>
    <t>Dias Transcurridos</t>
  </si>
  <si>
    <t>Dias en el Area</t>
  </si>
  <si>
    <t>Dias de Vencimiento</t>
  </si>
  <si>
    <t>Area Inicial</t>
  </si>
  <si>
    <t>Departamento</t>
  </si>
  <si>
    <t>Radicado</t>
  </si>
  <si>
    <t>Ano</t>
  </si>
  <si>
    <t>Solicitud</t>
  </si>
  <si>
    <t>Tipo Solicitud</t>
  </si>
  <si>
    <t>Fechas Creacion</t>
  </si>
  <si>
    <t>Nota Solicitud</t>
  </si>
  <si>
    <t>Fecha Vencimiento</t>
  </si>
  <si>
    <t>Estado respuesta</t>
  </si>
  <si>
    <t>Estado cierre</t>
  </si>
  <si>
    <t>Radicador</t>
  </si>
  <si>
    <t>Columna8</t>
  </si>
  <si>
    <t>Columna7</t>
  </si>
  <si>
    <t>Columna6</t>
  </si>
  <si>
    <t>Proceso</t>
  </si>
  <si>
    <t>Descripción</t>
  </si>
  <si>
    <t>Referencia</t>
  </si>
  <si>
    <t>Respuesta</t>
  </si>
  <si>
    <t>Estado</t>
  </si>
  <si>
    <t>Fecha informe</t>
  </si>
  <si>
    <t>Tiempo informe</t>
  </si>
  <si>
    <t>Respuesta oportuna</t>
  </si>
  <si>
    <t>Concepto</t>
  </si>
  <si>
    <t>Tipo</t>
  </si>
  <si>
    <t>Defecto</t>
  </si>
  <si>
    <t>Seguimiento</t>
  </si>
  <si>
    <t>Costo</t>
  </si>
  <si>
    <t>Pago</t>
  </si>
  <si>
    <t>FERRETERIA Y CACHARRERIA EMANUEL</t>
  </si>
  <si>
    <t>FERRETERIA Y CACHARRERIA EMANUEL S.A.S.</t>
  </si>
  <si>
    <t>Ciudad:BARRANQUILLA  Dir:   CRA. 38 # 58 - 46</t>
  </si>
  <si>
    <t>BARRANQUILLA</t>
  </si>
  <si>
    <t>Media</t>
  </si>
  <si>
    <t>Comercial</t>
  </si>
  <si>
    <t>Logistica</t>
  </si>
  <si>
    <t>ATLANTICO</t>
  </si>
  <si>
    <t>R040512282</t>
  </si>
  <si>
    <t>Reclamo</t>
  </si>
  <si>
    <t>Mal despacho de logística</t>
  </si>
  <si>
    <t>Cliente en cumplido informa que falto una caja de clavo común con cabeza  1x16 500gr y le llego una caja de grapa 3/4 500gr que no solicito y no esta en la factura, solicita recogida de la grapa  generar nota crédito por $178.250..</t>
  </si>
  <si>
    <t>Cerrado</t>
  </si>
  <si>
    <t>Cierre</t>
  </si>
  <si>
    <t>Yary Cossio</t>
  </si>
  <si>
    <t>asistenteferreteria35@gmail.com</t>
  </si>
  <si>
    <t>DISTRIBUIDORA SURTIVEL S.A.S</t>
  </si>
  <si>
    <t>Ciudad:CAUCASIA  Dir:   CRA. 20 # 22 - 177</t>
  </si>
  <si>
    <t>CAUCASIA</t>
  </si>
  <si>
    <t>Producción (Púas - Galvanizado)</t>
  </si>
  <si>
    <t>ANTIOQUIA</t>
  </si>
  <si>
    <t>D012414351</t>
  </si>
  <si>
    <t>Devolución</t>
  </si>
  <si>
    <t>Calidad no igual a la pactada</t>
  </si>
  <si>
    <t>Mala calidad reviente del alambre.</t>
  </si>
  <si>
    <t>Patricia Rendon</t>
  </si>
  <si>
    <t>surtivel.facturaelectronica@gmail.com</t>
  </si>
  <si>
    <t>Producción Galvanizado</t>
  </si>
  <si>
    <t>Tracción fuera de especificación</t>
  </si>
  <si>
    <t>DEPOSITO ABO S.A.S</t>
  </si>
  <si>
    <t>Juan Carlos Solano Navarro</t>
  </si>
  <si>
    <t>Ciudad:ARBOLETES  Dir:   CR 30   29   02</t>
  </si>
  <si>
    <t>ARBOLETES</t>
  </si>
  <si>
    <t>D020514418</t>
  </si>
  <si>
    <t>El producto no corresponde a lo pedido</t>
  </si>
  <si>
    <t>Devolución de 30 rollos alambre púas C.14.5 x 500, factura 272393 del 17 de enero, cliente solicito ref. errada, se traslada mercancía al cliente Nutricampo Nit. 811943716 pedido 10393431; se factura pedido y se realiza NC por devolución.</t>
  </si>
  <si>
    <t>contabilidad@depositoabo.com</t>
  </si>
  <si>
    <t>FERRETERIA ARGENTINA LAS LUNAS</t>
  </si>
  <si>
    <t>JUAN CARLOS AVILA VELEZ SAS</t>
  </si>
  <si>
    <t>Mario Rodriguez</t>
  </si>
  <si>
    <t>Ciudad:PASTO  Dir:   CRA. 11 # 14 - 69 BRR LAS LUNAS</t>
  </si>
  <si>
    <t>PASTO</t>
  </si>
  <si>
    <t>NARINO</t>
  </si>
  <si>
    <t>G020609394</t>
  </si>
  <si>
    <t>Garantia</t>
  </si>
  <si>
    <t>Garantía de producto</t>
  </si>
  <si>
    <t>Cliente solicita garantía por 1 rollo de púas C14.5 x 200 (salió reventado varios tramos), fact. 271941 del 26 de diciembre, no devuelve porque este fue instalado por el comprador, se debe enviar un rollo Re misionado autorizado por el área de producción.</t>
  </si>
  <si>
    <t>gerenciaargentinalaslunas@gmail.com</t>
  </si>
  <si>
    <t>Producción Púas</t>
  </si>
  <si>
    <t>TUBOLAMINAS</t>
  </si>
  <si>
    <t>FERRETERIA TUBOLAMINAS S.A</t>
  </si>
  <si>
    <t>Leon Dario Zapata Soto</t>
  </si>
  <si>
    <t>Ciudad:CALI  Dir:   CRA. 15 # 49 - 04  BRR CHAPINERO</t>
  </si>
  <si>
    <t>CALI</t>
  </si>
  <si>
    <t>VALLE DEL CAUCA</t>
  </si>
  <si>
    <t>D020710341</t>
  </si>
  <si>
    <t>Cliente devuelve 2 cajas clavo 4 x 6 a 1000 gr por error en el pedido, fact. 272954 del 30 de enero, se procede con NC</t>
  </si>
  <si>
    <t>mercadeo@tubolaminas.com</t>
  </si>
  <si>
    <t>MALLAS E INGENIERIA INDUSTRIAL S.A.S.</t>
  </si>
  <si>
    <t>MALLAS E INGENIERIA</t>
  </si>
  <si>
    <t>Ciudad:BOGOTA  Dir:   CRA. 69 R  # 77 - 58 OF 201</t>
  </si>
  <si>
    <t>BOGOTA</t>
  </si>
  <si>
    <t>Producción (Trefilación - Recocido - Varillas)</t>
  </si>
  <si>
    <t>BOGOTA D.C.</t>
  </si>
  <si>
    <t>D021213433</t>
  </si>
  <si>
    <t>Devolución 3600 kg alambre Bte 4.00 C8 por tracción alta, factura 272917, del 29 de enero 2024, se ingresa reposición del mismo, pedido 10393729.</t>
  </si>
  <si>
    <t>jkquiroga@hotmail.com</t>
  </si>
  <si>
    <t>ARBOLEDA MUÃ?OZ JOHN FREDY</t>
  </si>
  <si>
    <t>Robinson Gutierrez</t>
  </si>
  <si>
    <t>Ciudad:FRONTINO  Dir:   CRA. 36 # 18 - 32  BRR MANGURUMA</t>
  </si>
  <si>
    <t>FRONTINO</t>
  </si>
  <si>
    <t>Alta</t>
  </si>
  <si>
    <t>R021612254</t>
  </si>
  <si>
    <t>Faltante de mercancía</t>
  </si>
  <si>
    <t>La mercancía del cliente fue extraviada por transportes Salgar, 1 caja grapa 1-1/4 x 9 a 800gr fact. 272273, se genera nota crédito, reposición de caja al cliente pedido 10393969 y cobro a Salgar pedido 10393968</t>
  </si>
  <si>
    <t>sorehurtado@hotmail.com</t>
  </si>
  <si>
    <t>COMERCIAL MATALURGICA DEL SUR S.A.S.</t>
  </si>
  <si>
    <t>COMERCIAL METALURGICA DEL SUR S.A.S.</t>
  </si>
  <si>
    <t>Comercial Metalurgica del Sur</t>
  </si>
  <si>
    <t>Ciudad:BOGOTA  Dir:   CLL. 51 SUR # 14 A  - 39  Apto BRR TUNJUELITO</t>
  </si>
  <si>
    <t>Q021613048</t>
  </si>
  <si>
    <t>Queja</t>
  </si>
  <si>
    <t>Mercancía averiada por transporte</t>
  </si>
  <si>
    <t>Mercancía en mal estado 50 libras clavo acero liso 1 x 2.00 por mal estado transportes R8 fact. 273099,se realiza nota crédito por valor de $ 216.000 al cliente  y cobro transportadora pedido 10393976</t>
  </si>
  <si>
    <t>jhonestradapizza@hotmail.com</t>
  </si>
  <si>
    <t>MILMUGAPATIA S.A.S. ZOMAC</t>
  </si>
  <si>
    <t>Ciudad:PATIA  Dir:   CRA. 6 # 4 - 12  BRR BALBOITA</t>
  </si>
  <si>
    <t>PATIA</t>
  </si>
  <si>
    <t>CAUCA</t>
  </si>
  <si>
    <t>R021613325</t>
  </si>
  <si>
    <t>Faltante de 50 libras acero estriado vert. 2 x 4.30 por Transportes Transcomercol fact. 271940, se realiza nota crédito por valor de $ 238.500 para el cliente y cobro Transporte pedido 10393979, conductor Jhon Lopez</t>
  </si>
  <si>
    <t>mmgpatia@gmail.com</t>
  </si>
  <si>
    <t>ORGANIZACION FERKATIO</t>
  </si>
  <si>
    <t>ORGANIZACION FERKATIO S.A.S.</t>
  </si>
  <si>
    <t>Ciudad:APARTADO  Dir:   CRA. 100 # 92A - 03 BARRIO EL AMPARO</t>
  </si>
  <si>
    <t>APARTADO</t>
  </si>
  <si>
    <t>D021614561</t>
  </si>
  <si>
    <t>Baja rotación</t>
  </si>
  <si>
    <t>Cliente devuelve 150 libras acero estriado vert. 2-1/2 x 4.30, mucho inventario baja rotación, no aviso devolvió con el conductor, se genera NC por valor de $ 715.500 factura 273455</t>
  </si>
  <si>
    <t>compras@ferkatio.com</t>
  </si>
  <si>
    <t>FERREELECTRICOS LA 46MG</t>
  </si>
  <si>
    <t>FERREELECTRICOS LA 46MG SAS</t>
  </si>
  <si>
    <t>Wilmar Quirama</t>
  </si>
  <si>
    <t>Ciudad:BARRANQUILLA  Dir:   CRA. 40 # 35 - 3</t>
  </si>
  <si>
    <t>D021615193</t>
  </si>
  <si>
    <t>Entrega en otra dirección</t>
  </si>
  <si>
    <t>Mercancía entregada por transporte en dirección errada, cliente ferroeléctricos la 46 se entrego Aristizábal Valencia Mariela, la cual consumió el material 4 cajas clavo 1x16 a 500gr, 3 cajas clavo 3-1/2x8 a 500gr fact. 272374, procedo con NC x valor de 1.183.730 para la 46 y factura por cobro razón social valencia Mariela pedido 10393992</t>
  </si>
  <si>
    <t>ferremedellin@hotmail.com</t>
  </si>
  <si>
    <t>P V C DEL CARIBE S.A.S</t>
  </si>
  <si>
    <t>p v c del caribe</t>
  </si>
  <si>
    <t>Ciudad:BARRANQUILLA  Dir:   CL  30   33   167</t>
  </si>
  <si>
    <t>R021615292</t>
  </si>
  <si>
    <t>Faltante de mercancía 2 cajas clavo 2-1/2 x 400gr, transportes BJ factura 272339, procedo con NC al cliente x valor de 221.000 y cobro Transportes BJ pedido 10393993</t>
  </si>
  <si>
    <t>gerencia@pvcdelcaribe.com</t>
  </si>
  <si>
    <t>HERRAJES GAHER</t>
  </si>
  <si>
    <t>HERRAJES GAHER S.A.S</t>
  </si>
  <si>
    <t>Ciudad:ITAGUI  Dir:   CR 86 A  52 D 54</t>
  </si>
  <si>
    <t>ITAGUI</t>
  </si>
  <si>
    <t>Q021616434</t>
  </si>
  <si>
    <t>Mala calidad del embalaje</t>
  </si>
  <si>
    <t>Cliente coloca queja por mal estado del rollo alambre rec. 5.16-5.18mm c6 torcido factura 273861, ya son varias quejas por la misma situación.</t>
  </si>
  <si>
    <t>facturacionherrajesgahersas@gmail.com</t>
  </si>
  <si>
    <t>Sergio Jose Arango Botero</t>
  </si>
  <si>
    <t>D022116069</t>
  </si>
  <si>
    <t>Devolución de 300 kg galv. c14 x 25kg, cliente se equivoco al solicitar pedido, la, orden de compra era de otro proveedor, factura 273820 del 14 de febrero por valor de $ 1.650.000, se genera NC.</t>
  </si>
  <si>
    <t>VALENCIA ALZATE LUCIANO</t>
  </si>
  <si>
    <t>Valencia Alzate Luciano</t>
  </si>
  <si>
    <t>Ciudad:EL CARMEN DE VIBORAL  Dir:   CL  31     CL  36  07</t>
  </si>
  <si>
    <t>EL CARMEN DE VIBORAL</t>
  </si>
  <si>
    <t>D022116162</t>
  </si>
  <si>
    <t>Devolución de 4 rollos alambre de púas 14.5 x 100mts, se despacho pedido viejo (asesor no borro pendientes devuelve por cantidad), factura 274133 del 19 de febrero por valor de $ 222180, procedo con NC.</t>
  </si>
  <si>
    <t>elinverferretero@hotmail.com</t>
  </si>
  <si>
    <t>FERRTERIA SURTIDORA LA 10</t>
  </si>
  <si>
    <t>VILLANOVA NUÃ?EZ HONORIO</t>
  </si>
  <si>
    <t>Villanova Nuñez Honorio</t>
  </si>
  <si>
    <t>Ciudad:BARRANCABERMEJA  Dir:   CL  50   16   01 BRR COLOMBIA</t>
  </si>
  <si>
    <t>BARRANCABERMEJA</t>
  </si>
  <si>
    <t>SANTANDER</t>
  </si>
  <si>
    <t>D022116264</t>
  </si>
  <si>
    <t>Devolución alambre galv. c14 x 25 kg, cliente solicito y se facturo galv. c12 (despacho trocado), factura 273893 del 15 de febrero por valor de $ 281000, se genera nota crédito.</t>
  </si>
  <si>
    <t>honoriovillanova10@hotmail.com</t>
  </si>
  <si>
    <t>EL CONSTRUCTOR  INVERSIONES S.A.</t>
  </si>
  <si>
    <t>Yulieth Mendoza Robles</t>
  </si>
  <si>
    <t>Ciudad:CARTAGENA  Dir:   CLL. 31 # LT 5 URB EL RUBY</t>
  </si>
  <si>
    <t>CARTAGENA</t>
  </si>
  <si>
    <t>BOLIVAR</t>
  </si>
  <si>
    <t>P022208163</t>
  </si>
  <si>
    <t>Peticion</t>
  </si>
  <si>
    <t>Cambio de Condiciones Comerciales</t>
  </si>
  <si>
    <t>Devolución de 135 libras acero estriado 1x3.00, por fecha de factura 30 de enero mercancía llego en febrero, cliente nunca reporto cierre contable por ende solicita NC por valor de 643.950, factura 272894</t>
  </si>
  <si>
    <t>f-inversiones@almacenconstructor.com</t>
  </si>
  <si>
    <t>COMERCIAL ORZUMA S.A.S</t>
  </si>
  <si>
    <t>Comercial Orzuma sas</t>
  </si>
  <si>
    <t>Ciudad:SANTA MARTA  Dir:   CL   22  7  78</t>
  </si>
  <si>
    <t>SANTA MARTA</t>
  </si>
  <si>
    <t>MAGDALENA</t>
  </si>
  <si>
    <t>D022212356</t>
  </si>
  <si>
    <t>Devolución de 25 kg de alambre galv. c18, cliente devolvió sin justa causa (no reviso orden de compra), factura 273357 del 06 de febrero por valor de $  183.750</t>
  </si>
  <si>
    <t>almacen@comercialorzuma.com</t>
  </si>
  <si>
    <t>DISTRIFER S.A.S</t>
  </si>
  <si>
    <t>Ciudad:RIONEGRO  Dir:   CR 45   51 A  12  BRR LAS PLAYAS</t>
  </si>
  <si>
    <t>RIONEGRO</t>
  </si>
  <si>
    <t>D040108102</t>
  </si>
  <si>
    <t>Cliente solicita recogida e informe ya que al revisar 25 plegadizas con oxidación clavo común con cabeza 1- ½ x 14  500g, manifiesta que el almacenamiento y el lugar se encuentran secos, no envía factura por que la montan en la estantería que se buscan relacionadas en el sistema factura 241582 08 febrero 2022 y 221396 15 de diciembre 2020</t>
  </si>
  <si>
    <t>distrifersas@hotmail.com</t>
  </si>
  <si>
    <t>CASA FERRETERA S.A.</t>
  </si>
  <si>
    <t>Casa Ferretera</t>
  </si>
  <si>
    <t>Ciudad:MEDELLIN  Dir:   CR 48 CL 42 93</t>
  </si>
  <si>
    <t>MEDELLIN</t>
  </si>
  <si>
    <t>D022312566</t>
  </si>
  <si>
    <t>Devolución de 25 kg alambre galv c16 (cliente solicito c14 despacho trocado), y 1 caja clavo 2x 12 a 500gr averiada factura 274299 del 21 de febrero por valor de $ 280.450, solicita NC.</t>
  </si>
  <si>
    <t>sistemas@casaferretera.com</t>
  </si>
  <si>
    <t>COMERCIAL FERRETERA</t>
  </si>
  <si>
    <t>SUAREZ RAMIREZ S.A.S</t>
  </si>
  <si>
    <t>Comercial Ferretera</t>
  </si>
  <si>
    <t>Ciudad:NEIVA  Dir:   CL 4-3  82</t>
  </si>
  <si>
    <t>NEIVA</t>
  </si>
  <si>
    <t>HUILA</t>
  </si>
  <si>
    <t>D022313059</t>
  </si>
  <si>
    <t>Devolución de 50 libras acero estriado vertical de 1-1/2 x 3.50, llego concreto de 1-1/2 trocado, factura 273836 del 14 de febrero por valor de $ 250.000, solicita recoger y NC.</t>
  </si>
  <si>
    <t>comercialf@hotmail.com</t>
  </si>
  <si>
    <t>INDUMA SAS</t>
  </si>
  <si>
    <t>Vanessa Calderon</t>
  </si>
  <si>
    <t>Ciudad:MANIZALES  Dir:   KM 1 VIA TERMALES EL OTOÃ?O</t>
  </si>
  <si>
    <t>MANIZALES</t>
  </si>
  <si>
    <t>CALDAS</t>
  </si>
  <si>
    <t>Q022608102</t>
  </si>
  <si>
    <t>Mala atención del transportador</t>
  </si>
  <si>
    <t>Un conductor se reporto sin cotero, principal requisito para recibir el alambre, el conductor se ofrece a descargar solo el material, momentos después se evidencia que deja el alambre en el suelo, este material viene aceitado y se puede llenar de polvo y eso perjudica las herramientas al momento de incluir el alambre al proceso, factura 274020 del 16 de febrero.</t>
  </si>
  <si>
    <t>contabilidad@induma.com.co</t>
  </si>
  <si>
    <t>MATESCO SJ SAS</t>
  </si>
  <si>
    <t>Ciudad:IBAGUE  Dir:   CRA. 45 SUR # 150 - 58 BRR PICALEÃ?A</t>
  </si>
  <si>
    <t>IBAGUE</t>
  </si>
  <si>
    <t>TOLIMA</t>
  </si>
  <si>
    <t>D040108073</t>
  </si>
  <si>
    <t>Cliente solicita devolver porque  al abrir la caja le salieron 25 cajitas de clavo común con cabeza 3x9 400gr salieron oxidadas de un valor de $112.760 la factura 268944 es del 12 de octubre 2023</t>
  </si>
  <si>
    <t>matesco.sj.sas@gmail.com</t>
  </si>
  <si>
    <t>JOSE J. GOMEZ C. Y CIA. S EN C</t>
  </si>
  <si>
    <t>William Patiño Gomez</t>
  </si>
  <si>
    <t>Ciudad:BOGOTA  Dir:   CLL. 11 # 15 - 64</t>
  </si>
  <si>
    <t>Baja</t>
  </si>
  <si>
    <t>D022616058</t>
  </si>
  <si>
    <t>Cliente solicita devolver dos rollos de alambre de púa 12.5 x 400, el cliente utilizó un rollo y evidenció unas fisuras en un cordón que al someterlo en tensión se reventó, por ende no utilizó los demás rollos.  Número factura: 272479, NC por valor de 412.646  Número de pedido: 10392284</t>
  </si>
  <si>
    <t>SARA MONTOYA</t>
  </si>
  <si>
    <t>jotageciasenc@hotmail.com</t>
  </si>
  <si>
    <t>ALMACEN Y FERRETERIA LA BOMBA S.A.S</t>
  </si>
  <si>
    <t>Almacen Y Ferreteria La Bomba S.A.S</t>
  </si>
  <si>
    <t>Ciudad:ENVIGADO  Dir:   CL 37 SUR 40 A 09</t>
  </si>
  <si>
    <t>ENVIGADO</t>
  </si>
  <si>
    <t>D022617011</t>
  </si>
  <si>
    <t>Devolución por 4 cajas de grapa 1-1/4x9 a 1000gr, factura: 274386 de: febrero 23 de 2024, asesor no reportó borrar pendiente viejo, se genera nota crédito por valor de:  707.828</t>
  </si>
  <si>
    <t>facturaelectronicabomba@gmail.com</t>
  </si>
  <si>
    <t>TODOFER DISTRIBUCIONES S.A.S</t>
  </si>
  <si>
    <t>Todofer Distribuiciones S.A.S</t>
  </si>
  <si>
    <t>Ciudad:BARRANQUILLA  Dir:   CR  38  74  392  BRR BETHANIA</t>
  </si>
  <si>
    <t>R022708391</t>
  </si>
  <si>
    <t>Cliente en cumplido coloca faltante de 25kg de alambre recocido, ocasionado por transportadora BJ, conductor Carlos Alberto Blanco, se ingresa pedido por faltante #10394375 Factura 273448 del 7 de febrero, generar NC por valor de: 105.000.</t>
  </si>
  <si>
    <t>administracion@todoferdistribuciones.com.co</t>
  </si>
  <si>
    <t>GRUPO LITORAL S.A.S .</t>
  </si>
  <si>
    <t>Grupo Litoral S.A.S</t>
  </si>
  <si>
    <t>Ciudad:MONTERIA  Dir:   CR 3 #34-23</t>
  </si>
  <si>
    <t>MONTERIA</t>
  </si>
  <si>
    <t>CORDOBA</t>
  </si>
  <si>
    <t>D022709565</t>
  </si>
  <si>
    <t>Cliente devuelve 27 cajas de clavo común, 10 de 2x12 a 400gr, 1 de 2-1/2 x 11 a 500gr, 2 de 2-1/ 2x11 a 400gr, 1 de 3x9 a 400gr, 6 de 3-1/2 x 8 a 400gr, 2 de 4x6 a 800gr, 5 de grapa 1x12 a 800gr  Factura: 273536 del 8 de febrero, se genera NC por valor de: 3.144.375. Esta PQR es ocasionada para el área de sistemas, pedido quedó doble.</t>
  </si>
  <si>
    <t>auxcompras2@grupolitoral.co</t>
  </si>
  <si>
    <t>GRUPO ROLDAN S.A.S</t>
  </si>
  <si>
    <t>Ciudad:MEDELLIN  Dir:   CR 50   42 107</t>
  </si>
  <si>
    <t>P022710581</t>
  </si>
  <si>
    <t>Apoyo de mercadeo</t>
  </si>
  <si>
    <t>Cliente genera petición (devolución)  por error al solicitar 200 libras de acero liso 3 x 3.50, las cuales no utiliza. Factura: 274397 de 23 de febrero, se genera NC por valor de: 864.000 (cliente asume flete).</t>
  </si>
  <si>
    <t>feproveedores@gruporoldan.com.co</t>
  </si>
  <si>
    <t>TEXCOL SAS</t>
  </si>
  <si>
    <t>Texcol SAS</t>
  </si>
  <si>
    <t>Ciudad:PASTO  Dir:   CRA. 21 B  # 19 - 48  BRR PANADERIA</t>
  </si>
  <si>
    <t>R022712076</t>
  </si>
  <si>
    <t>Cliente en cumplido coloca faltante de 50 libras de clavo acero liso 1 x 2.00, ocasionado por Transcomercol, conductor Jhon Feiver Vasquez, se ingresa pedido por faltante. Factura 273037 del 31 de enero, generar NC por valor de 216.000.</t>
  </si>
  <si>
    <t>compras@texcol.com.co</t>
  </si>
  <si>
    <t>AGROPUNTO CAUCASIA S.A.S. ZOMAC</t>
  </si>
  <si>
    <t>Ciudad:CAUCASIA  Dir:   CRA. 2 # 24 - 37</t>
  </si>
  <si>
    <t>Q041212193</t>
  </si>
  <si>
    <t>Calidad del producto</t>
  </si>
  <si>
    <t>Buen dia, Agropunto manifiesta que un cliente compro 10 rollos de alambre de púas calibre 12.5x350mt 5 de estos le salieron con empates como lo muestra en la foto adjunta, por favor revisar que pudo haber sucedido. fact 275956 21 de marzo 2024</t>
  </si>
  <si>
    <t>contabilidad.agropunto@yahoo.com</t>
  </si>
  <si>
    <t>DISMAFUSA Y COMPAÃ?IA S.A.S</t>
  </si>
  <si>
    <t>Dismafusa y Compañia S.A.S</t>
  </si>
  <si>
    <t>Ciudad:FUSAGASUGA  Dir:   CL  25  39 BIS - 03</t>
  </si>
  <si>
    <t>FUSAGASUGA</t>
  </si>
  <si>
    <t>CUNDINAMARCA</t>
  </si>
  <si>
    <t>D030409446</t>
  </si>
  <si>
    <t>Mal digitado</t>
  </si>
  <si>
    <t>Devolución de 1 caja grapa 1 x 12 a 1000gr, asesor ingreso código mal, el cliente solo maneja grapa de 800gr, factura 274670 por valor de $ 168.530, solicita recoger y NC.</t>
  </si>
  <si>
    <t>d.contable@dismafusa.com</t>
  </si>
  <si>
    <t>DISTRIHIERROS J.U.</t>
  </si>
  <si>
    <t>DISTRIHIERROS J.U. SAS</t>
  </si>
  <si>
    <t>Sandra Bautista</t>
  </si>
  <si>
    <t>Ciudad:FUSAGASUGA  Dir:   CRA. 9 # 10 A - 04</t>
  </si>
  <si>
    <t>D030409592</t>
  </si>
  <si>
    <t>Devolución de 24 cajas grapa 1 x 12 a 1000gr, asesor ingreso mal el código, cliente pidió 25 libras se ingreso 25 cajas factura 274671 del 27 de febrero por valor de $ 4.044.720, recoger y NC.</t>
  </si>
  <si>
    <t>distrihierrosju@hotmail.com</t>
  </si>
  <si>
    <t>GRUPO SAN PIO</t>
  </si>
  <si>
    <t>GRUPO SAN PIO S.A.S.</t>
  </si>
  <si>
    <t>Ciudad:ITAGUI  Dir:   DG 47 31  67</t>
  </si>
  <si>
    <t>D032710501</t>
  </si>
  <si>
    <t>Devolución de 1 caja de clavo común con cabeza 1-1/4 x 15 500gr el asesor ingreso mal la referencia factura 276047 por un valor de $156.250 solicita recoger y generar nota crédito</t>
  </si>
  <si>
    <t>info@depositosanpio.com.co</t>
  </si>
  <si>
    <t>FERRETERIA NACIONAL</t>
  </si>
  <si>
    <t>ENRIQUEZ ARTEAGA LUIS EDUARDO</t>
  </si>
  <si>
    <t>Ciudad:PASTO  Dir:   CR 20   19  45</t>
  </si>
  <si>
    <t>Q030514171</t>
  </si>
  <si>
    <t>Mercancías mal empacadas</t>
  </si>
  <si>
    <t>Cliente genera queja por faltante de 44 kg alambre rec., se pesa en bascula y la diferencia en rollos es de 22 y 23 kg, factura 274814 del 28 de febrero, solicitan nota crédito por valor de $ 194.040</t>
  </si>
  <si>
    <t>fenalpasto@yahoo.es</t>
  </si>
  <si>
    <t>William Patiño</t>
  </si>
  <si>
    <t>D030614296</t>
  </si>
  <si>
    <t>Cliente devuelve 2 rollos de alambre de púas c12.5 x 400 mts, mala calidad (presenta fisura por partes), factura 272479 del 18 de enero de 2024, solicita NC por valor de $ 412.646</t>
  </si>
  <si>
    <t>Gloria Izquierdo</t>
  </si>
  <si>
    <t>D030616304</t>
  </si>
  <si>
    <t>Cliente devuelve 20 rollos alambre de púas c12.5 x 200 por error del asesor, se solicito c12.5 x 350, factura 271835 del 21 de diciembre, solicita recoger y NC por valor de 2.521.920, se adjunta orden de compra con l pedido correcto</t>
  </si>
  <si>
    <t>MARTINEZ MOSQUERA RAFAEL</t>
  </si>
  <si>
    <t>Ciudad:MEDELLIN  Dir:   CRA. 90 A  # 44 C - 33</t>
  </si>
  <si>
    <t>Q030616462</t>
  </si>
  <si>
    <t>Cliente coloca queja, por enredo en alambre galvanizado c15 al desenrollar; ocasionando desperdicio y bajo rendimiento, factura 274967 del 01 de marzo.</t>
  </si>
  <si>
    <t>cerpal122@gmail.com</t>
  </si>
  <si>
    <t>33G130180</t>
  </si>
  <si>
    <t>Alambre enredado</t>
  </si>
  <si>
    <t>TORNIAUTOS</t>
  </si>
  <si>
    <t>MOLINA NARVAEZ JOHN FREDY</t>
  </si>
  <si>
    <t>Ciudad:SAN ANDRES DE TUMACO  Dir:   CL  NUEVA CREACION DE TUMACO</t>
  </si>
  <si>
    <t>SAN ANDRES DE TUMACO</t>
  </si>
  <si>
    <t>D041114089</t>
  </si>
  <si>
    <t>Requerimiento del cliente</t>
  </si>
  <si>
    <t>Buen dia cliente devuelve a Corsan dos rollos de alambre galvanizado calibre 18 (1.25mm) manifiesta que él no lo solicito, factura 275249 del 07 de Marzo 2024, generar nota crédito por $350.000</t>
  </si>
  <si>
    <t>torniautostco@gmail.com</t>
  </si>
  <si>
    <t>DISTRIBUCIONES Y REPRESENTANCIONES MERCATIENDA</t>
  </si>
  <si>
    <t>GIRALDO FRANCO OSCAR DARIO</t>
  </si>
  <si>
    <t>Oscar Dario Franco Giraldo</t>
  </si>
  <si>
    <t>Ciudad:MONTERIA  Dir:   CLL. 66 # 1 - 66 AP 1101 BRR EL RECREO RD SANTORINI</t>
  </si>
  <si>
    <t>D030816282</t>
  </si>
  <si>
    <t>Cliente devuelve 1 caja de Puntilla, clavo común con cabeza 2-1/2 x 11 400 gr, Factura #274579.</t>
  </si>
  <si>
    <t>mercatiendas@yahoo.es</t>
  </si>
  <si>
    <t>PINTURAS Y FERRETERIA ZEA</t>
  </si>
  <si>
    <t>ZEA CORDOBA MANUEL OVIDIO</t>
  </si>
  <si>
    <t>Zea Cordoba Manel Oviedo</t>
  </si>
  <si>
    <t>Ciudad:QUIBDO  Dir:   BRR ZONA MINERA CR 24 # 32 - 55</t>
  </si>
  <si>
    <t>QUIBDO</t>
  </si>
  <si>
    <t>CHOCÃ</t>
  </si>
  <si>
    <t>R031114464</t>
  </si>
  <si>
    <t>Perdida de mercancía por transporte</t>
  </si>
  <si>
    <t>Cliente reporta perdida de mercancía 15 libras acero vert. de 2-1/2 x 4.30, 1 caja clavo 3x9 a 400gr, 1 caja clavo de 3-1/2 x 400gr de la fact. 273126 del 01 de febrero de 2024, se cobra Transportes Transcomercol (Se entrego en otra dirección), pedido 10394885, se genera NC por valor de $ 322.410</t>
  </si>
  <si>
    <t>manuelzeacordoba@gmail.com</t>
  </si>
  <si>
    <t>FERRETERIA MARTINEZ</t>
  </si>
  <si>
    <t>MARTINEZ RIVERA GILBERTO</t>
  </si>
  <si>
    <t>Ciudad:MELGAR  Dir:   CLL. 8 # 27 - 05  BRR CENTRO</t>
  </si>
  <si>
    <t>MELGAR</t>
  </si>
  <si>
    <t>D031115459</t>
  </si>
  <si>
    <t>Cliente devuelve 6 rollos de alambre de púas calibre 12.5 x 400mt, (tenia inventario y nunca cancelo el pedido) factura 274451 del 23 de Febrero 2024 por valor de 1.299.834, se realiza NC</t>
  </si>
  <si>
    <t>ferreteriamartinez1998@gmail.com</t>
  </si>
  <si>
    <t>TAURUS ACCESORIOS CERCAS ELECTRICAS</t>
  </si>
  <si>
    <t>GRUPO EMPRESARIAL DRG S.A.S</t>
  </si>
  <si>
    <t>Dayan Rendon</t>
  </si>
  <si>
    <t>Ciudad:SABANETA  Dir:   CLL. 65 SUR # 42 B - 14 Apto 1008</t>
  </si>
  <si>
    <t>SABANETA</t>
  </si>
  <si>
    <t>G031208471</t>
  </si>
  <si>
    <t>Cliente solicita garantía de 50 kilos de alambre galvanizado calibre 15 (1.80 mm), el cliente argumenta que el alambre le salió enredado y torcido como lo indica en las fotos.   Factura #275272.  Fecha factura: 08/03/2024</t>
  </si>
  <si>
    <t>Caso Anulado</t>
  </si>
  <si>
    <t>dayanrendongomez@gmail.com</t>
  </si>
  <si>
    <t>ANTOPELAEZ</t>
  </si>
  <si>
    <t>ANTOPELAEZ S.A.S</t>
  </si>
  <si>
    <t>Antopelaez S.A.S</t>
  </si>
  <si>
    <t>Ciudad:MEDELLIN  Dir:   CL  48   55 33</t>
  </si>
  <si>
    <t>Q031211454</t>
  </si>
  <si>
    <t>Cliente informa que tiene varias plegadizas averiadas por falta de pega en ellas, manifiesta que es muy incomódo estar pegando con cinta y que no tienen tiempo para repararlas, tiene tres referencias con este problema. Argumenta que las de 5', como en Vareta, el peso las desfonda y sin buena pega no hay plegadiza que funcione. Solicita verificar la buena calidad de su producto.   Clavo común de 3'  Clavo común de 5'  Clavo Vareta</t>
  </si>
  <si>
    <t>antopelaez@une.net.co</t>
  </si>
  <si>
    <t>ALMACEN EL TORNILLO / ALMACEN EL TORNILLITO GRADO</t>
  </si>
  <si>
    <t>GIRALDO GONZALEZ E HIJOS LTDA</t>
  </si>
  <si>
    <t>Ciudad:BUCARAMANGA  Dir:   CL  28  13  33 BRR GIRARDOT</t>
  </si>
  <si>
    <t>BUCARAMANGA</t>
  </si>
  <si>
    <t>R041109396</t>
  </si>
  <si>
    <t>Buenos días, cliente informa que solicito 8.000 unidades de tornillo estufa 3/16 x 1 /2 XGR el cual no recibió, no llego a su destino en la factura 272790 del 26 de enero de 2024, cliente no requiere del pedido porque le llego la cantidad en otra factura tiempo después.  solicita amablemente generar nota crédito por $203.424</t>
  </si>
  <si>
    <t>eltornillo28@hotmail.com</t>
  </si>
  <si>
    <t>AGROSAL LA YE S.A.S ZOMAC</t>
  </si>
  <si>
    <t>Agrosal La Ye S.A.S Zomac</t>
  </si>
  <si>
    <t>CRA. 21 # 30 - 32</t>
  </si>
  <si>
    <t>D041011168</t>
  </si>
  <si>
    <t>Buenos días, el cliente hace devolución de 1 caja de clavo 2 1/2 x 11 400gr, argumenta que la caja llegó mojada, la caja ya fue recibida en Corsan. Factura # 276180 del 26 de marzo 2024. Generar nota crédito por valor de $110.500.</t>
  </si>
  <si>
    <t>facturacion@agrosallaye.com</t>
  </si>
  <si>
    <t>MATERIALES DE PRIMERA Y SEGUNDAS SAN JOSE OBRERO</t>
  </si>
  <si>
    <t>QUIROZ QUINTERO FERNANDO ANTONIO</t>
  </si>
  <si>
    <t>Fernando Antonio Quintero</t>
  </si>
  <si>
    <t>Ciudad:MEDELLIN  Dir:   CLL. 57B # 54 - 25</t>
  </si>
  <si>
    <t>Q031212275</t>
  </si>
  <si>
    <t>Cliente en cumplido expresa que en el último Alambre Galvanizado calibre 12.5 que se le despachó, está manchada y se le desprende el Zinc   Factura #273077, del 1 de febrero de 2024.</t>
  </si>
  <si>
    <t>fernandonio27@gmail.com</t>
  </si>
  <si>
    <t>33G110259</t>
  </si>
  <si>
    <t>Desprendimiento de Zinc</t>
  </si>
  <si>
    <t>JJ MALLA Y SEGURIDAD</t>
  </si>
  <si>
    <t>JJ MALLA Y SEGURIDAD S.A.S</t>
  </si>
  <si>
    <t>Ciudad:LA ESTRELLA   Dir:   CR 55 77 SUR 2018</t>
  </si>
  <si>
    <t>LA ESTRELLA</t>
  </si>
  <si>
    <t>Q031212363</t>
  </si>
  <si>
    <t>Cliente solicito alambre galvanizado calibre 12 (2.75mm) bajo la factura 274672  del 27 de Febrero 2024 por un valor de $5.350.000 no devuelve, pero se enreda y tiene muchas partes duras</t>
  </si>
  <si>
    <t>gerencia@jjmallasyseguridad.com</t>
  </si>
  <si>
    <t>33G130275</t>
  </si>
  <si>
    <t>Ferreteria Tubolaminas S.A</t>
  </si>
  <si>
    <t>D031215019</t>
  </si>
  <si>
    <t>Cliente informa devolución de 10 rollos de Alambre de púas calibre 16.5 x 200 mt.  Devolvió la mercancía argumentando que era mucha referencia.  Pero eso era lo que el había solicitado, se verificó con órdenes de compra y estaban bien.   Factura #274645 del 27 de febrero de 2024.  Orden de compra #10817</t>
  </si>
  <si>
    <t>D031215256</t>
  </si>
  <si>
    <t>Cliente informa devolución de 20 rollos de Alambre de púas calibre 16.5 x 400 mt. Devolvió la mercancía argumentando que era mucha referencia. Pero eso era lo que el había solicitado, se verificó con órdenes de compra y estaban bien.   Factura #274412 del 23 de febrero de 2024.  Orden de compra #10817</t>
  </si>
  <si>
    <t>D031215357</t>
  </si>
  <si>
    <t>Cliente informa devolución de 100 und de Clavo de acero vertical 2 x 4.30. Devolvió la mercancía argumentando que era mucha referencia. Pero eso era lo que el había solicitado, se verificó con órdenes de compra y estaban bien.  Factura #274408 del 23 de febrero de 2024.  Orden de compra #10623</t>
  </si>
  <si>
    <t>FERRETERIA J ALBERTO SAS</t>
  </si>
  <si>
    <t>Ciudad:PASTO  Dir:   CR 20 #19-75</t>
  </si>
  <si>
    <t>D040809371</t>
  </si>
  <si>
    <t>Mal despacho</t>
  </si>
  <si>
    <t>Cliente en cumplido, falto en la factura 100Kg de de alambre galvanizado calibre 12(2.75mm) y devuelven 2 rollos de alambre calibre 10 x 50kg no es lo solicitado. factura 275588 del 14 de marzo del 2024, generar nota crédito por $535.000</t>
  </si>
  <si>
    <t>jalbertojur@yahoo.es</t>
  </si>
  <si>
    <t>CONSTRUCCIONES Y FERRETERIA CONSTRUFER</t>
  </si>
  <si>
    <t>SOLANO CARRILLO OMAR EUSTROPIO</t>
  </si>
  <si>
    <t>Ciudad:FONSECA  Dir:   CR 17 13 12 SEC CENTRO</t>
  </si>
  <si>
    <t>FONSECA</t>
  </si>
  <si>
    <t>LA GUAJIRA</t>
  </si>
  <si>
    <t>D031217103</t>
  </si>
  <si>
    <t>cliente cumplido, en el pedido por requerimiento del cliente porque se equivoco devolvió las 2 cajas de clavo vareta 5x 1/4 100gr galvanizado electrolítico por $381.140 # factura 274296 del 21 de febrero 2024 .</t>
  </si>
  <si>
    <t>construferfonseca@hotmail.com</t>
  </si>
  <si>
    <t>D031307357</t>
  </si>
  <si>
    <t>cliente en cumplido pedido inicial era de 100 kilos  de alambre galvanizado calibre 15 (1.80 mm) uso una parte, argumenta que el alambre le salió enredado y torcido como lo indica en las fotos, solicita el cambio de los 50 kilos . factura 275272 generar NC por 309.750</t>
  </si>
  <si>
    <t>CALIMALLAS S.A.S.</t>
  </si>
  <si>
    <t>CALIMALLAS S.A.S</t>
  </si>
  <si>
    <t>Ciudad:CALI  Dir:   CR  10A   19  43  BARRIO SUCRE</t>
  </si>
  <si>
    <t>R031308034</t>
  </si>
  <si>
    <t>Cliente en cumplido informa que debía recibir 10 rollos de Alambre de púas calibre 14.5 x 135 mt, y recibió 9 rollos de 135 mt, y 1 de 100 metros.            Factura #274641 del 27 de Febrero de 2024.  se genera Nota Crédito por valor de: 65,760</t>
  </si>
  <si>
    <t>facturacioncalimallas@hotmail.com</t>
  </si>
  <si>
    <t>Producción (Puntilleria - Acero - Tornillería)</t>
  </si>
  <si>
    <t>D031308319</t>
  </si>
  <si>
    <t>cliente en cumplido manifiesta que las 6 libras de clavo común con cabeza 4x 6 1000 gr con menos cantidad de lo pactado pendiente recoger factura 270375 del 18 de Noviembre 2023 generar NC por $16.575</t>
  </si>
  <si>
    <t>Producción Puntillería-Empaque</t>
  </si>
  <si>
    <t>Cantidad diferente</t>
  </si>
  <si>
    <t>Q031316211</t>
  </si>
  <si>
    <t>cliente manifiesta que el alambre especial CHQ 2,32-2.34 mm calibre 13 viene con empate de soldadura en  factura 274306 del 22 de febrero 2024, en la imagen se observa la etiqueta que vino con el inconveniente.</t>
  </si>
  <si>
    <t>Q031408323</t>
  </si>
  <si>
    <t>Cliente manifiesta que el alambre se encuentra con unas rayas muy pronunciadas que los afecta bastante, es alambre especial CHQ 2,32-2.34 mm calibre 13, # de factura #273810 del 14 de febrero 2024, en la imagen se observa la etiqueta que vino con el inconveniente.</t>
  </si>
  <si>
    <t>COLBISAGRAS S.A.S.</t>
  </si>
  <si>
    <t>Ciudad:BOGOTA  Dir:   CL 38 SUR  72 J  95</t>
  </si>
  <si>
    <t>R040515305</t>
  </si>
  <si>
    <t>Cliente en cumplido reportan un faltante de peso en rollos el alambre especial 6.01-6.03 mm calibre 4  nos indican que no es posible enviar fotos de las etiquetas porque ya lo están trabajando, el faltante corresponde a 161.3Kg. factura 275436 del 12 de Marzo del 2024  Generar nota crédito por $948.444</t>
  </si>
  <si>
    <t>colbisagras@outlook.com</t>
  </si>
  <si>
    <t>Q031811248</t>
  </si>
  <si>
    <t>Cliente en cumplido manifiesta alambre galvanizado calibre 15 (1.80mm) de nuevo le salió el alambre enredado en la factura 275437 del 12 de marzo 2024</t>
  </si>
  <si>
    <t>FERRETERIA Y SUMINISTROS LA 70</t>
  </si>
  <si>
    <t>ZAPATA IDARRAGA SANDRA MILENA</t>
  </si>
  <si>
    <t>Ciudad:ISTMINA  Dir:   BRR CUBIS SEC LA 70</t>
  </si>
  <si>
    <t>ISTMINA</t>
  </si>
  <si>
    <t>CHOC\\u00d3</t>
  </si>
  <si>
    <t>Q031816521</t>
  </si>
  <si>
    <t>cliente en cumplido manifiesta que al recibir el pedido por la transportadora Tmq las cajas se encontraban rotas, con abolladuras, y algunas plegadizas se desarmaron, no lo devuelve porque lo necesita. factura 275323 del 08 de marzo 2024</t>
  </si>
  <si>
    <t>jhoramos231@gmail.com</t>
  </si>
  <si>
    <t>DISTRINORTE FERRETEROS S.A.S</t>
  </si>
  <si>
    <t>Distrinorte Ferreteros S.A.S</t>
  </si>
  <si>
    <t>Ciudad:MEDELLIN  Dir:   CR 48 # 40 - 69</t>
  </si>
  <si>
    <t>D041011558</t>
  </si>
  <si>
    <t>Buenas tardes, el cliente en cumplido manifiesta error en la toma de pedido por parte del asesor. Se le mandó Clavo de acero concreto 1x 3.00, devolvió por que la referencia que necesitaba era de 2' pulgadas. Factura #276492 del 4 de Abril de 2024. Generar nota crédito por valor de $1.296.000.</t>
  </si>
  <si>
    <t>contabilidad@distrinorteferreteros.com</t>
  </si>
  <si>
    <t>FRACO S.A.</t>
  </si>
  <si>
    <t>FABRICA COLOMBIANA DE REPUESTOS AUTOMOTORES S.A</t>
  </si>
  <si>
    <t>Ciudad:BOGOTA  Dir:   CR 65 B   13  50</t>
  </si>
  <si>
    <t>Q031908285</t>
  </si>
  <si>
    <t>Mercancía no se identifica (tiquete-certificado-códigos de barras)</t>
  </si>
  <si>
    <t>Cliente devuelve mercancía 52kg de alambre recocido 1.20- 1.23 mm calibre 18 no se contaba con el certificado de calidad en el momento de entrega, factura 275535 14 de marzo 2024.</t>
  </si>
  <si>
    <t>(1)2623400</t>
  </si>
  <si>
    <t>yolima.urrutia@fraco.com.co</t>
  </si>
  <si>
    <t>FERRETERIA JOSE LA 27</t>
  </si>
  <si>
    <t>PALLARES RODRIGUEZ JOSE MANUEL</t>
  </si>
  <si>
    <t>Ciudad:AGUACHICA  Dir:   CR 27 #3-76</t>
  </si>
  <si>
    <t>AGUACHICA</t>
  </si>
  <si>
    <t>CESAR</t>
  </si>
  <si>
    <t>D031908371</t>
  </si>
  <si>
    <t>Cliente en cumplido solicito 2.000kg de alambre recocido para la construcción solicita recoger 1.100 kg o 44 rollos de alambre cada uno de 25 kg porque se encuentra duro y acerado no se deja manipular. factura 272016 del 29 de diciembre 2023. generar nc por un valor de $4.510.000</t>
  </si>
  <si>
    <t>ferreteriajosela27@hotmail.com</t>
  </si>
  <si>
    <t>D031910146</t>
  </si>
  <si>
    <t>Cliente en cumplido devolvió  2 cajas de clavo sin cabeza 1x 17 400gr no corresponde al que solicitaron. factura 275568 14 marzo 2024 por un valor de  $371.200</t>
  </si>
  <si>
    <t>TORNILLOS Y REMACHES ESPECIALES TORNYREM SAS</t>
  </si>
  <si>
    <t>Tornillos Y Remaches Especiales Tornyrem SAS</t>
  </si>
  <si>
    <t>Ciudad:BOGOTA  Dir:   CLL. 25 D  # 95-45</t>
  </si>
  <si>
    <t>R031912281</t>
  </si>
  <si>
    <t>Cliente en cumplido coloca faltante de 31kg de Alambre Especial 40.4 42 mm Calibre, factura 275352 del 11 de marzo de 2024, generar NC por valor de $173.600</t>
  </si>
  <si>
    <t>sandra.suarez@segurex.com</t>
  </si>
  <si>
    <t>Dismafusa Y Compañía SAS</t>
  </si>
  <si>
    <t>R031915059</t>
  </si>
  <si>
    <t>Cliente en cumplido coloca faltante de 4kg de Alambre recocido para construcción, él había solicitado 3.000 kg y solamente recibió 2.996kg. Factura #274670 del 27 de febrero de 2024, generar NC por valor de $16.400</t>
  </si>
  <si>
    <t>SURTIFERRETERIAS S.A.S</t>
  </si>
  <si>
    <t>Ciudad:SANTA MARTA  Dir:   CL 11 11 A ESQ</t>
  </si>
  <si>
    <t>D031915394</t>
  </si>
  <si>
    <t>Cliente devolvió 1 caja de clavo vareta 4 x 1/4 1000gr galvanizado por $181.500 factura 275220 del 7 de marzo 2024.</t>
  </si>
  <si>
    <t>facturaelectronica@surtiferreterias.com</t>
  </si>
  <si>
    <t>Q032008399</t>
  </si>
  <si>
    <t>Cliente nuevamente se le entrega mercancía sin certificado de calidad 150 kg de alambre recocido 1.30 -1.33 mm calibre 18, solicita una respuesta de carácter urgente fact 275380 del 11 de marzo 2024</t>
  </si>
  <si>
    <t>DEPOSITO DE CEMENTO SANDONA</t>
  </si>
  <si>
    <t>BUCHELI MONTEZUMA CARLOS JAVIER</t>
  </si>
  <si>
    <t>Ciudad:SANDONA  Dir:   CLL. 7 # 03 - 74 BRR COMERCIO</t>
  </si>
  <si>
    <t>SANDONA</t>
  </si>
  <si>
    <t>D032008579</t>
  </si>
  <si>
    <t>Cliente en cumplido solicita devolver 375 kg de alambre recocido para la construcción porque se encuentra muy duro al manipularlo, por un valor de $1.575.000 fact 275266</t>
  </si>
  <si>
    <t>depositodecementosandona@gmail.com</t>
  </si>
  <si>
    <t>ALVAREZ CASTAÃ?O JOHNNIE</t>
  </si>
  <si>
    <t>ALVAREZ CASTAÑO JOHNNIE</t>
  </si>
  <si>
    <t>Ciudad:YOLOMBO  Dir:   CL   20   19  63</t>
  </si>
  <si>
    <t>YOLOMBO</t>
  </si>
  <si>
    <t>R032114386</t>
  </si>
  <si>
    <t>Cliente en cumplido informa que debía recibir 6 rollos de alambre de púas calibre 12.5x400mt y recibió solo 5 de 400mt y le enviaron 1 de 350mt que no pidió y lo devolvió, generar nota crédito por $227.471 Factura 275552 del 14 de marzo 2024</t>
  </si>
  <si>
    <t>gerencia@magicinc.com.co</t>
  </si>
  <si>
    <t>DEPOSITO DE MATERIALES CONSTRUCENTRO</t>
  </si>
  <si>
    <t>OSORIO HENAO SIGIFREDO DE JESUS</t>
  </si>
  <si>
    <t>Ciudad:LA CEJA  Dir:   CL  19  22  61</t>
  </si>
  <si>
    <t>LA CEJA</t>
  </si>
  <si>
    <t>D032207372</t>
  </si>
  <si>
    <t>Cliente en cumplido devuelve alambre galvanizado calibre 14 (2.10mm) 25 kg ya no lo necesitaba, el pedido fue del 26 de Febrero y le llego el 13 de Marzo, Fact 275527 del 13 de marzo 2024 generar nota crédito por $288.750</t>
  </si>
  <si>
    <t>info@construcentro.co</t>
  </si>
  <si>
    <t>FINCA FERRETERA</t>
  </si>
  <si>
    <t>TORRES JARAMILLO GERARDO ANTONIO</t>
  </si>
  <si>
    <t>Ciudad:YOLOMBO  Dir:   CALLE ZEA # 16 - 173 BRR EL RETIRO</t>
  </si>
  <si>
    <t>D032208584</t>
  </si>
  <si>
    <t>Cliente en cumplido devuelve las siguientes referencias porque le llegaron en mal estado por parte de la transportadora   1 caja de clavo común con cabeza 2x12 500gr $152.280  1 caja clavo común con cabeza 4x 6 1000gr $152.280  1 caja de grapa 1 x 9 1000gr $185.804  1 caja grapa 1 -1/4 x 9 1000gr $185.804  1 caja de grapa 1- 1/4x9 800gr $151.208  Generar nota crédito por $827.376</t>
  </si>
  <si>
    <t>fincaferretera@gmail.com</t>
  </si>
  <si>
    <t>C.I TECNICAS BALTIME DE COLOMBIA S.A</t>
  </si>
  <si>
    <t>Ciudad:SANTA MARTA  Dir:   CRR  TRONCAL DEL CARIBE KM DOS VIA GAIRA</t>
  </si>
  <si>
    <t>D032210165</t>
  </si>
  <si>
    <t>Cliente no recibió, devuelve pedido porque le llego antes de tiempo estimado eran 200 unidades de alambre galvanizado calibre 14(2.10mm) 25kg del 20 de Marzo y se le despacho antes de esa fecha fact 275213, 07 de marzo 2024 generar nota crédito por $1.100.000</t>
  </si>
  <si>
    <t>vbrito@tecbaco.com</t>
  </si>
  <si>
    <t>FERROMATERIALES SAN BLAS S.A.S</t>
  </si>
  <si>
    <t>Ciudad:MORROA  Dir:   CLL. 7 # 2 - 28 AV SAN BLAS</t>
  </si>
  <si>
    <t>MORROA</t>
  </si>
  <si>
    <t>SUCRE</t>
  </si>
  <si>
    <t>Q032211338</t>
  </si>
  <si>
    <t>Demora en la entrega del producto</t>
  </si>
  <si>
    <t>Cliente no recibe el pedido de 200LBS de clavo de acero estriado vertical 2-1/2 x 4.30 el transportador decide no entregar la mercancía y devuelve a Corsan, Fact 274477 del 24 de febrero 2024 por $1.000.000</t>
  </si>
  <si>
    <t>comercial@ferrosanblas.com</t>
  </si>
  <si>
    <t>ALZATE MORALES FERNANDO</t>
  </si>
  <si>
    <t>Ciudad:MARINILLA  Dir:   CR 30B  31  35</t>
  </si>
  <si>
    <t>MARINILLA</t>
  </si>
  <si>
    <t>D032212243</t>
  </si>
  <si>
    <t>Cliente en cumplido, devuelve 3 cajas de clavo común con cabeza 4x6 1000gr error del asesor en la cantidad en el pedido generar nota crédito por $456.840, factura del 15 de febrero 2024.</t>
  </si>
  <si>
    <t>Fernandofam1@hotmail.com</t>
  </si>
  <si>
    <t>ALMACEN Y FERRETERIA PINTURAYO</t>
  </si>
  <si>
    <t>AGUIRRE LOPEZ HECTOR WILSON</t>
  </si>
  <si>
    <t>Ciudad:ROLDANILLO  Dir:   CR   9   9   66  CENTRO</t>
  </si>
  <si>
    <t>ROLDANILLO</t>
  </si>
  <si>
    <t>D032212381</t>
  </si>
  <si>
    <t>Cliente devolvió pedido 50kg de alambre galvanizado calibre 18 (1.25mm) que están en inventario y no lo pueden recibir, generar nota crédito por $367.500</t>
  </si>
  <si>
    <t>pinturayoalmacenyferreteria@hotmail.com</t>
  </si>
  <si>
    <t>REPARES</t>
  </si>
  <si>
    <t>REPARES SOCIEDAD ANONIMA</t>
  </si>
  <si>
    <t>Repares Sociedad Anonima</t>
  </si>
  <si>
    <t>Ciudad:ITAGUI  Dir:   CL 66  52 A  35</t>
  </si>
  <si>
    <t>R032214091</t>
  </si>
  <si>
    <t>Cliente en cumplido informa que debía recibir 150 unidades de Clavo común con cabeza 2-1/2x11 500gr. Haciendo falta 50 unidades de esta misma referencia (Clavo común con cabeza 2-1/2x11 500gr). A el cliente le sobró 1 caja de Clavo común 2 x 12 e hizo la devolución a Corsan. Factura # 275873 del 20 de marzo de 2024. Generar Nota Crédito por valor de $138.125</t>
  </si>
  <si>
    <t>facturaelectronica@repares.com</t>
  </si>
  <si>
    <t>DISTRINOVA CERETE</t>
  </si>
  <si>
    <t>RAMIREZ ROMERO JADER EMILIO</t>
  </si>
  <si>
    <t>Ciudad:CAUCASIA  Dir:   CR 20  BRR LA Y</t>
  </si>
  <si>
    <t>D032215097</t>
  </si>
  <si>
    <t>Cliente en cumplido devuelve 50 rollos de alambre de púas calibre 16.5x200mt solo requería 10 rollos de esa referencia, el asesor se equivoco en la cantidad, factura 275685 del 18 de marzo del 2024 generar nota crédito por $2.635.200</t>
  </si>
  <si>
    <t>miniprecios1@hotmail.com</t>
  </si>
  <si>
    <t>Surtiferreterias SAS</t>
  </si>
  <si>
    <t>R032216245</t>
  </si>
  <si>
    <t>Cliente en cumplido coloca faltante de 15 Kilos de Alambre recocido para construcción. El cliente debía recibir 3000 Kilos y recibió 2985, lo llevó la Transportadora Bj, conductor Franklin Antequera. Factura #274519 del 24 de febrero de 2024.  Generar Nota Crédito por valor de $61.800</t>
  </si>
  <si>
    <t>R040515177</t>
  </si>
  <si>
    <t>Cliente en cumplido manifiesta que en unos rollos de alambre especial 4.69-4.714mm calibre 7 hacen falta peso envio los videos por medio de whatsapp factura 275793 del 20 de marzo 2024  rollo de 111kg lo pesaron y esta en 86 kg  rollo de 113kg lo pesaron y esta en 89 kg  rollo de 107kg lo pesaron y esta en 72 kg  Faltante total por 107Kg  generar nota crédito por $629.160</t>
  </si>
  <si>
    <t>DISTRIBUIDORA Y ABARROTES LA AMISTAD</t>
  </si>
  <si>
    <t>CASTAÃ?O LOPEZ GERARDO</t>
  </si>
  <si>
    <t>CASTAÑO LOPEZ GERARDO</t>
  </si>
  <si>
    <t>Ciudad:ISTMINA  Dir:   CR 7 # 19-05  CL DEL COMERCIO</t>
  </si>
  <si>
    <t>Q032610389</t>
  </si>
  <si>
    <t>Cliente en cumplido manifiesta que el alambre recocido presenta dureza y no permite ser maleable, no devuelve pedido solo presenta esa inconformidad con el producto y se presenta muestra en físico</t>
  </si>
  <si>
    <t>distribuidoralaamistad@hotmail.com</t>
  </si>
  <si>
    <t>FERRETERIA DON KIKE SAS</t>
  </si>
  <si>
    <t>CR  43  82  136</t>
  </si>
  <si>
    <t>R032611178</t>
  </si>
  <si>
    <t>Cliente en cumplido manifiesta que en una caja de clavo común con cabeza 3-1/2x8 500gr al destaparla faltan 2 unidades (2 plegadizas)  de esta misma referencia, se envían fotos relacionadas. factura 275546 generar nc por un valor de $5.524</t>
  </si>
  <si>
    <t>pedidos@ferreteriadonkike.com</t>
  </si>
  <si>
    <t>TUERCAS Y TORNILLOS ALIADAS SAS</t>
  </si>
  <si>
    <t>TUERCAS Y TORNILOS ALIADAS SAS</t>
  </si>
  <si>
    <t>Ciudad:BOGOTA  Dir:   CL 66 #26-22 AP 201 BRR SIETE DE AGOSTO</t>
  </si>
  <si>
    <t>D040114561</t>
  </si>
  <si>
    <t>Cliente solicito 40 millares de tornillos y le salieron 5 millares (1 caja) malos, la tuerca no sube hasta el cuello ya le ha pasado varias veces, factura 272981 del 30 de enero 2024, solicita devolver, generar nota crédito por $201.535</t>
  </si>
  <si>
    <t>contabilidad@tytaliadas.com.co</t>
  </si>
  <si>
    <t>Producción Tornillería</t>
  </si>
  <si>
    <t>TORNILLO ESTUFA 1/4 X 1/2 XGR</t>
  </si>
  <si>
    <t>3TE755XGR</t>
  </si>
  <si>
    <t>Respondido</t>
  </si>
  <si>
    <t>Sin informe</t>
  </si>
  <si>
    <t>Procedente</t>
  </si>
  <si>
    <t>Comercio</t>
  </si>
  <si>
    <t>Cuello</t>
  </si>
  <si>
    <t>Sin informe o evidencia fotográfica</t>
  </si>
  <si>
    <t>NC</t>
  </si>
  <si>
    <t>DYNA &amp; CIA S.A.</t>
  </si>
  <si>
    <t>Ciudad:BELLO  Dir:   CR  45 32 D 135  IN 105</t>
  </si>
  <si>
    <t>BELLO</t>
  </si>
  <si>
    <t>D040209549</t>
  </si>
  <si>
    <t>Cliente solicita devolver 41.90 Millares de tornillo estufa 1/8 x 1/4 DTR ya que viene revuelto con tornillo de 1/8 x 1/4 WT como se muestra en la foto no tienen tiempo para clasificarlo, factura 275507  del 13 de marzo 2024, generar nc por un valor de $460.774</t>
  </si>
  <si>
    <t>edwin.vargas@dyna.com.co</t>
  </si>
  <si>
    <t>TORNILLO ESTUFA 1/8 X 1/4 DTR</t>
  </si>
  <si>
    <t>3TE350DTR</t>
  </si>
  <si>
    <t>Industria</t>
  </si>
  <si>
    <t>Referencia mezclada</t>
  </si>
  <si>
    <t>COMERCIALIZADORA MERCOTODO SAS</t>
  </si>
  <si>
    <t>Ciudad:PUERTO ASIS  Dir:   CLL. 11 # 16 - 81</t>
  </si>
  <si>
    <t>PUERTO ASIS</t>
  </si>
  <si>
    <t>PUTUMAYO</t>
  </si>
  <si>
    <t>D040410377</t>
  </si>
  <si>
    <t>Cliente manifiesta que una caja de clavo común con cabeza 5x5 800gr llego en mal estado y la devuelven cobro a transportadora transcomercol factura 274866 del 29 de febrero 2024, generar nota crédito por $110.500 y  pedido 10395613</t>
  </si>
  <si>
    <t>mercotodo5@gmail.com</t>
  </si>
  <si>
    <t>R040410484</t>
  </si>
  <si>
    <t>Cliente en cumplido manifiesta que en unos rollos de alambre especial 4.69-4.714mm calibre 7  hacen falta peso envio los videos por medio de WhatsApp factura 275793 del 20 de marzo 2024  Rollo de 111kg lo pesaron y esta en 86 kg   Rollo de 113kg  lo pesaron y esta en 89 kg   reportan faltante  por 49kg   generar nota crédito por $288.120</t>
  </si>
  <si>
    <t>PUESTO DE COMPRA HERMANOS GARCES</t>
  </si>
  <si>
    <t>GARCES ZULUAGA ALFONSO</t>
  </si>
  <si>
    <t>Ciudad:MONTERIA  Dir:   CR 9 W  # 27 - 23  BRR DORADO</t>
  </si>
  <si>
    <t>D040415275</t>
  </si>
  <si>
    <t>Cliente en cumplido se equivoco al solicitar 30 cajas de Clavo común con cabeza 5x5 800gr, solo necesitaba 5 cajas factura 275739 del 19 de marzo 2024 solicita devolver pero se va a realizar traslado de mercancía a Surtioriente, generar nota crédito al cliente por $2.762.500</t>
  </si>
  <si>
    <t>dhermanosgarces2@gmail.com</t>
  </si>
  <si>
    <t>DISTRIBUIDORA ZAHER</t>
  </si>
  <si>
    <t>DISTRIBUIDORA ZAHER S.A.S</t>
  </si>
  <si>
    <t>Ciudad:ITAGUI  Dir:   CLL 85 CR 48 1   BL1 LC11</t>
  </si>
  <si>
    <t>R041216449</t>
  </si>
  <si>
    <t>Buen dia, Distribuidora Zaher solicito una tonelada 1.000 kg de alambre galvanizado calibre 18 (1.25mm) a la persona que se lo vendió lo peso en la bascula dándole menos peso 988.6 kilos en total, faltando 11.4kilos, solicita generar nota crédito por $79.800</t>
  </si>
  <si>
    <t>pedidos@zahersas.com</t>
  </si>
  <si>
    <t>MATERIALES Y FERRETERIA PEPE</t>
  </si>
  <si>
    <t>ALIANZA GOMEZ GOMEZ SAS</t>
  </si>
  <si>
    <t>ALIANZA GOMEZ GOMEZ</t>
  </si>
  <si>
    <t>Ciudad:LA UNION,  Dir:   CRA. 10 # 11 - 05</t>
  </si>
  <si>
    <t>LA UNION,</t>
  </si>
  <si>
    <t>D041516088</t>
  </si>
  <si>
    <t>Buen dia, error al ingresar pedido cliente devuelve 13 cajas completas de la referencia clavo común con cabeza 3-1/2 x 8 500gr  (ya se encuentran en Corsan) manifiesta que solo solicito 2 cajas. factura 276691 del 01 de abril 2024, generar nota crédito por $1.885.390</t>
  </si>
  <si>
    <t>alianzagomezgomez@gmail.com</t>
  </si>
  <si>
    <t>FERRETERIA SERGUS</t>
  </si>
  <si>
    <t>FERRETERIA SERGUS S.A.S</t>
  </si>
  <si>
    <t>Ciudad:BOGOTA  Dir:   CL 15 #25-24</t>
  </si>
  <si>
    <t>D041708544</t>
  </si>
  <si>
    <t>Demora en entrega del producto</t>
  </si>
  <si>
    <t>Buen dia, cliente devolvió 50 cajas de clavo común c.c 1- 1/4x 15 granel 20kg manifiesta que hubo demasiada demora de parte de Corsan para la entrega del producto solicitado el 26 de Marzo; el asesor ingreso el pedido pero no se contaba con la existencia de ese código por lo tanto hubo retrasos en producción para poder sacar esa referencia, solicita nota crédito por $5.937.500 factura 276673 del 10 de abril 2024.</t>
  </si>
  <si>
    <t>ferresergus@gmail.com</t>
  </si>
  <si>
    <t>INMADEC</t>
  </si>
  <si>
    <t>ULLOA ACOSTA CRISTHIAM MANUEL</t>
  </si>
  <si>
    <t>Ciudad:MONTERIA  Dir:   CLL 44 # 4-18 BRR LOS LAURELES</t>
  </si>
  <si>
    <t>D041808491</t>
  </si>
  <si>
    <t>Buen día, cliente solicita recoger 3 cajas de clavo común con cabeza 1- 1 /2 x 14 500gr electrolítico galvanizado ya que la referencia que realmente necesitaba es clavo común con cabeza 1-1/2 x 14 de 500gr, el asesor tuvo un error al ingresar el pedido. factura 276200 del 26 de marzo 2024, generar nota crédito por $602.691</t>
  </si>
  <si>
    <t>inmadec@gmail.com</t>
  </si>
  <si>
    <t>D041812275</t>
  </si>
  <si>
    <t>Buen día, cliente informa que por error solicito 2 cajas de clavo común con cabeza 1-1/4x15 500gr, se dio cuenta cuando le despachó a un cliente 5 libras; la referencia que requería era de 1-1/2 solicita amablemente que se recojan 95 libras de clavo común con cabeza 1-1/4x15 500gr y generar nota crédito por un valor de $311.714</t>
  </si>
  <si>
    <t>Janeth Gomez Cadavid</t>
  </si>
  <si>
    <t>Q041909239</t>
  </si>
  <si>
    <t>Buen día, cliente en cumplido manifiesta que las plegadizas se le desfondan referencia de clavo común 3' , se rompen, están mal pegadas él mismo debe volver a pegarlas muchas veces con cinta, es reiterativo este inconveniente, no se anexa factura.</t>
  </si>
  <si>
    <t>Material de empaque</t>
  </si>
  <si>
    <t>INDUMOL</t>
  </si>
  <si>
    <t>INDUMOL S.A.S</t>
  </si>
  <si>
    <t>Ciudad:MEDELLIN  Dir:   CR 45 31-192 SEC ALMACENTRO</t>
  </si>
  <si>
    <t>R041917032</t>
  </si>
  <si>
    <t>Precio diferente al pactado</t>
  </si>
  <si>
    <t>Buen día, cliente informa que inicialmente tenia pactado un precio de compra de la referencia de alambre brillante (3.20-3.22mm calibre 10.5) valor por kilo $4.700 más IVA, pero el asesor Wilmar Quirama al montar el pedido ingreso mal el valor y coloco precio por por kilo $4.935 más IVA, la cantidad son 302 kg en la factura 277162 del 19 de abril 2024.  La diferencia en cada Kilo $235 pesos  Se solicita generar nota por mayor valor cobrado por $70.970</t>
  </si>
  <si>
    <t>indumol@une.net.co</t>
  </si>
  <si>
    <t>ZULUAGA BUITRAGO ELKIN</t>
  </si>
  <si>
    <t>Ciudad:CIUDAD BOLIVAR  Dir:   CLL. 50 # 51 - 84</t>
  </si>
  <si>
    <t>CIUDAD BOLIVAR</t>
  </si>
  <si>
    <t>Q042208525</t>
  </si>
  <si>
    <t>Cliente mal asesorado</t>
  </si>
  <si>
    <t>Buen día, cliente se comunica por medio de llamada presentando la inconformidad con la asesora comercial Janeth Gómez argumentando que desde hacia 15 días estaba tratando de hacer un pedido y que no recibía respuesta, después de esos días (16 de Abril) la asesora le pudo tomar el pedido pero que llamaba y no le contestaba que lo mejor era que otra persona le tomara el pedido, la atención de ella le disgustaba un poco ya que la mercancía la requería urgente</t>
  </si>
  <si>
    <t>elarrieroalmacenferretero@gmail.com</t>
  </si>
  <si>
    <t>FERRETERIA MASTER</t>
  </si>
  <si>
    <t>SOCIEDAD FERRETERA DE COMERCIO S.A.</t>
  </si>
  <si>
    <t>Ciudad:GUADALAJARA DE BUGA  Dir:   CL 7 # 10 - 50</t>
  </si>
  <si>
    <t>GUADALAJARA DE BUGA</t>
  </si>
  <si>
    <t>R042310094</t>
  </si>
  <si>
    <t>Buen día, cliente reporta faltante de 1 rollo, manifiesta que le facturaron 4 rollos de alambre de púas calibre 14.5x500mt pero solo llegaron 3 de esa referencia, factura 277099 del 18 de abril 2024, solicitud para generar nc por $169.056</t>
  </si>
  <si>
    <t>facturaelectronica@ferremaster.com.co</t>
  </si>
  <si>
    <t>DISTRITODO DORADA</t>
  </si>
  <si>
    <t>LEZCANO PORTELA HERNEY</t>
  </si>
  <si>
    <t>Ciudad:LA DORADA  Dir:   CRA. 4 # 17 - 34 BRR CENTRO</t>
  </si>
  <si>
    <t>LA DORADA</t>
  </si>
  <si>
    <t>D042312593</t>
  </si>
  <si>
    <t>Buen dia, cliente devuelve al conductor todo el pedido  ya que lo encontró deteriorado y en malas condiciones, factura 275978 21 de marzo 2024 solicita generar nota crédito por un valor $5.755.100, se cobra a transportadora Transcomercol bajo el pedido 10396428</t>
  </si>
  <si>
    <t>comprasdistritodo@gmail.com</t>
  </si>
  <si>
    <t>Q042314538</t>
  </si>
  <si>
    <t>Buen dia, cliente en cumplido realiza devolución de 22.1 kilo de alambre galvanizado calibre 18 (1.25mm) ya que presenta reviente en varios tramos, factura 275846 del 20 de marzo 2024 solicita revisa que sucede y generar nota crédito por $154.700</t>
  </si>
  <si>
    <t>33G130125</t>
  </si>
  <si>
    <t>Reventado</t>
  </si>
  <si>
    <t>D042315224</t>
  </si>
  <si>
    <t>Buen dia, cliente en cumplido realiza devolución de 2 quintales de clavo acero concreto de 1 1/2 x 3.50, esto por error de ellos, la mercancía fue devuelta a Corsan solicita generar nota crédito por $216.000</t>
  </si>
  <si>
    <t>CASTAÃ?EDA ALONSO LIZANDRO</t>
  </si>
  <si>
    <t>Ciudad:CHAPARRAL  Dir:   CRA 6 #7-11</t>
  </si>
  <si>
    <t>CHAPARRAL</t>
  </si>
  <si>
    <t>Q042409439</t>
  </si>
  <si>
    <t>Buen día, cliente devuelve 300 kilos de alambre galvanizado calibre 14 (2.10mm), 200 kilos alambre galvanizado calibre 14 (2.10mm) por demora en entrega del producto, ya lo había solicitado con otra empresa. factura 276331 del 02 de abril 2024, se solicita generar nota crédito por $3.436.125</t>
  </si>
  <si>
    <t>ferreteriagranchaparral2019@gmail.com</t>
  </si>
  <si>
    <t>COOPERATIVA COLANTA</t>
  </si>
  <si>
    <t>Cooperativa Colanta</t>
  </si>
  <si>
    <t>Calle 22 # 25 Ã?Â¢Ã?Â?Ã?Â? 283</t>
  </si>
  <si>
    <t>D042515103</t>
  </si>
  <si>
    <t>Buen día, cliente hace devolución de 5 cajas de clavo vareta 4 x 1/4 1000gr galvanizado. Se entregó el día 24 de abril, no quiso recibir por fecha de cierre.  Por favor generar nota crédito por valor de 907.500</t>
  </si>
  <si>
    <t>recepcionFE@colanta.com.co</t>
  </si>
  <si>
    <t>MATERIALES EL ORIENTE S.A.S.</t>
  </si>
  <si>
    <t>MATERIALES EL ORIENTE S.A.S</t>
  </si>
  <si>
    <t>Ciudad:BOGOTA  Dir:   CR 72Q 37 14SUR</t>
  </si>
  <si>
    <t>D042612109</t>
  </si>
  <si>
    <t>Cliente en cumplido Materiales el oriente SAS devuelve 6 cajas de grapa 1-1/4 x 9 800gr por error de asesor en el ingreso del código. Se hizo traslado a centro ferretero Mafer. (Se ingresó nuevo pedido #10376585).  Factura #277077 del 17 de abril de 2024   Se solicita generar Nota crédito por valor de $ 822.900.</t>
  </si>
  <si>
    <t>asisgerencia@materialeseloriente.com</t>
  </si>
  <si>
    <t>DISTRIBUIDORA DON PALUSTRE S.A.S.</t>
  </si>
  <si>
    <t>Ciudad:TURBO  Dir:   CLL. 100 # 10 - 13 BRR GAITAN</t>
  </si>
  <si>
    <t>TURBO</t>
  </si>
  <si>
    <t>P042616036</t>
  </si>
  <si>
    <t>Empaques</t>
  </si>
  <si>
    <t>Cliente en cumplido argumenta inconveniente, se le mojaron 350 cajas plegadizas de clavo común 3x9 500gr, 50 cajas plegadizas de clavo común con cabeza 3-1/2x8 500gr. Para un total de 400 plegadizas.   Factura #275975</t>
  </si>
  <si>
    <t>materialesdonpalustre@hotmail.com</t>
  </si>
  <si>
    <t>SIDOC S.A.S</t>
  </si>
  <si>
    <t>SIDERURGICA DEL OCCIDENTE S.A.S SIDOC S.A.S</t>
  </si>
  <si>
    <t>Siderurgica del occidente SAS</t>
  </si>
  <si>
    <t>Ciudad:YUMBO  Dir:   CR 37 # 12 A 63</t>
  </si>
  <si>
    <t>YUMBO</t>
  </si>
  <si>
    <t>R042908221</t>
  </si>
  <si>
    <t>Cliente en cumplido manifiesta que le debían llegar 100 kg de Alambre galvanizado calibre 14 (2.10mm). Tuvo un faltante de 6 kg.   Favor generar NC por valor de: 33.000  Factura # 277356 del 23 de abril del 2024.</t>
  </si>
  <si>
    <t>carlosmario.gonzalez@sidocsa.com</t>
  </si>
  <si>
    <t>33G130213</t>
  </si>
  <si>
    <t>Distribuidora Zaher S.A.S</t>
  </si>
  <si>
    <t>D042908449</t>
  </si>
  <si>
    <t>Cliente hace devolución de 100lbs de Clavo de acero concreto 1-1/2 x 3.50. Argumenta que solicitó cantidad de más.  Factura # 276398 del 3 de Abril de 2024   Generar NC por valor de: 432.000</t>
  </si>
  <si>
    <t>LA CASA DEL CARPINTERO DE SANTA MARTA</t>
  </si>
  <si>
    <t>LOPEZ DE MEZA EDILIA</t>
  </si>
  <si>
    <t>Lopez De Meza Edilia</t>
  </si>
  <si>
    <t>Ciudad:SANTA MARTA  Dir:   CR  11 A CLL 10 - 11  LC 6</t>
  </si>
  <si>
    <t>D042909035</t>
  </si>
  <si>
    <t>Buen día, cliente devuelve 4 Cajas de de clavo común sin cabeza  3/4 x 18 x500gr (llegaron dos), Clavo común con cabeza 1x16 (llegaron dos),  estaban dentro de la misma caja mezcladas. Error del código por parte del asesor.  Recoger mercancía     # Factura 276425 del 3 de Abril de 2024   Generar NC por valor de: 860.960</t>
  </si>
  <si>
    <t>lacasadelcarpinteroml@hotmail.com</t>
  </si>
  <si>
    <t>GRUPO METROPOLIS DE LA COSTA S.A.S</t>
  </si>
  <si>
    <t>Grupo Metropolis De La Costa SAS</t>
  </si>
  <si>
    <t>Ciudad:SANTA MARTA  Dir:   CRA 19 #29 S 12 C 5 BRR BOULEVAR DE LAS ROSAS</t>
  </si>
  <si>
    <t>D042912384</t>
  </si>
  <si>
    <t>Cliente Grupo Metropolis de la Costa, nit 900513041solicitó devolver mercancía por temas de Cartera y rebajar la deuda devolviendo mercancía con nota crédito, de las facturas:   262774 del 5 de mayo de 2023 Clavo C/C 1-1/2x 500gr 13 Cajas y 13  Cajasde Clavo C/C 2x12 500gr  264535 del 22 de junio de 2023 Clavo C/C 1x16 500gr 6 Cajas y 7 Cajas Clavo S/C 1x17 500gr  270676 del 24 de noviembre de 2023 50 Libras de Acero estriado vert. 4   271171 del 26 de diciembre de 2023 300 Libras de Acero estriado vert. 4  262775 del 5 de mayo de 2023 10 Cajas de Clavo S/C 2x14 500gr   La suma total de las facturas antes mencionadas es por valor de: 8.756.125  Se deben recoger</t>
  </si>
  <si>
    <t>ferreteriametropolisdelacosta@gmail.com</t>
  </si>
  <si>
    <t>FERRELECTRICOS CHAPINERO</t>
  </si>
  <si>
    <t>PEREZ GALLO MARIA MARGARITA</t>
  </si>
  <si>
    <t>Perez Gallo Maria Margarita</t>
  </si>
  <si>
    <t>Ciudad:IBAGUE  Dir:   CR    1     14   46   CEN</t>
  </si>
  <si>
    <t>D042915528</t>
  </si>
  <si>
    <t>Asesora manifiesta error en la digitación al ingresar pedido. Ingresó 12 cajas de Clavo común sin cabeza 2-1/2 x 12 400gr. Lo solicitado por el cliente había sido Clavo común 2-1/2 con cabeza.   El cliente solicitó la recogida de este producto.  # Factura 277474 del 25 de abril del 2024  Generar Nota crédito por valor de: 110.500</t>
  </si>
  <si>
    <t>ferreteriachapinero@hotmail.es</t>
  </si>
  <si>
    <t>CONSTRUTODO MEDELLIN</t>
  </si>
  <si>
    <t>CASTILLO CHARRIS LILA YESENIA</t>
  </si>
  <si>
    <t>Castillo Charris Lila Yesenia</t>
  </si>
  <si>
    <t>Ciudad:PUERTO COLOMBIA.  Dir:   CLL. 2 # 6 - 07</t>
  </si>
  <si>
    <t>PUERTO COLOMBIA.</t>
  </si>
  <si>
    <t>D043009453</t>
  </si>
  <si>
    <t>Cliente realiza devolución, argumenta que tenía mucha cantidad en inventario. Se hace translado al cliente Jhon Agudelo Agudelo Nit: 8487238 Pedido # 10396676  Factura # 275666 del 18 de marzo del 2024  Favor generar NC por valor de: 183.750</t>
  </si>
  <si>
    <t>feconstrumed520@gmail.com</t>
  </si>
  <si>
    <t>D043015531</t>
  </si>
  <si>
    <t>Cliente hace devolución de 39.8 millares de 1/8 x 1/4 DTR, reincidencia por segundo reporte de devolución en la misma referencia, el tornillo está reventando la cabeza y se gira, adjunto fotos y vídeos.   Factura #277365 del 23 de abril de 2024   -Cliente solicita NC</t>
  </si>
  <si>
    <t>Funcionalidad</t>
  </si>
  <si>
    <t>Se determinó la no fabricación de este tornillo. Sin embargo hay 200 millares disponibles en inventario.</t>
  </si>
  <si>
    <t>Alvarez Castaño Johnnie</t>
  </si>
  <si>
    <t>Q050211249</t>
  </si>
  <si>
    <t>Cliente en cumplido realiza reclamación por calidad del producto ya que el alambre presenta varios empates y parte con 1 solo hilo. Referencia:  Alambre de púa 12.5 x 400  Factura #277013 del 16 de abril de 2024</t>
  </si>
  <si>
    <t>INDUSTRIAS VATOVI</t>
  </si>
  <si>
    <t>INDUSTRIAS VATOVI SAS</t>
  </si>
  <si>
    <t>Industrias Vatovi SAS</t>
  </si>
  <si>
    <t>Ciudad:MANIZALES  Dir:   KM 10 # VIA MAGDALENA - BG 1 Y 2 Apto DETRAS DE COVETA</t>
  </si>
  <si>
    <t>R050211585</t>
  </si>
  <si>
    <t>Cliente en cumplido manifiesta que le debían llegar 501kg de alambre Brillante 1.65-1.69mm Calibre 16. Tuvo un faltante de 16'2 kg.  Factura #277625 del 29 de abril de 2024  Favor generar NC por valor de: 82.832</t>
  </si>
  <si>
    <t>industriasvatovi2002@hotmail.com</t>
  </si>
  <si>
    <t>FERREMALLAS CALI S.A.S</t>
  </si>
  <si>
    <t>Ferremallas Cali S.A.S</t>
  </si>
  <si>
    <t>Ciudad:CALI  Dir:   CRA. 10 24 48</t>
  </si>
  <si>
    <t>D050314271</t>
  </si>
  <si>
    <t>Cliente en cumplido informa que debía recibir 20 rollos de Alambre Galvanizado calibre 11 (3.00mm), (RECIBIÓ 22) y 10 rollos de Alambre Galvanizado calibre 12.5 (2.59mm) (RECIBIÓ 8)  (DESPACHO TROCADO) #Factura 277358 del 23 de Abril de 2024   Favor generar NC de por valor de: 980.000 $ Al calibre 12.5 a 200KG  Facturar sobrante del calibre 11 a 200KG</t>
  </si>
  <si>
    <t>ventas@ferremallascali.com.co</t>
  </si>
  <si>
    <t>D050315203</t>
  </si>
  <si>
    <t>Cliente hace devolución de 1 Caja de de Clavo común 3/2x8 500gr por mal despacho.  Factura #277281 del 22 de abril del 2024  Generar NC por valor de: 138.125</t>
  </si>
  <si>
    <t>D050315262</t>
  </si>
  <si>
    <t>Cliente en nota manifiesta que no tenía orden de compra, hace devolución de 2 cajas de Clavo común 1-1/2 x 14 500gr  5 Cajas de Clavo vareta 4 x 1/4 1000gr Galvanizado  2 Cajas de Grapa 1-1/4 x 9 1000gr   #Factura de 2 de mayo de 2024   Favor generar NC por valor de: 1.532.000 $</t>
  </si>
  <si>
    <t>INVERSIONES LA BROCA</t>
  </si>
  <si>
    <t>INVERSIONES LA BROCA S.A.S</t>
  </si>
  <si>
    <t>Inversiones La Broca</t>
  </si>
  <si>
    <t>Ciudad:PEREIRA  Dir:   CRA. 9 # 14 - 08 GALERIA CENTRAL</t>
  </si>
  <si>
    <t>PEREIRA</t>
  </si>
  <si>
    <t>RISARALDA</t>
  </si>
  <si>
    <t>D050315352</t>
  </si>
  <si>
    <t>Cliente hace devolución de 1 Caja de Clavo CC 2-1/2 x 11 500gr argumenta que la mercancía estaba mojada. Evaluación del daño corresponde a logística.  #Factura 277405 del 24 de abril de 2024  Generar NC por valor de: 152.280 $</t>
  </si>
  <si>
    <t>ferreteria.labroca@hotmail.com</t>
  </si>
  <si>
    <t>DISTRIBUCIONES FERRENATY ZOMAC S.A.S</t>
  </si>
  <si>
    <t>Ciudad:CHIGORODO  Dir:   CRA. 87 C 98 18 BRR EL BOSQUE</t>
  </si>
  <si>
    <t>CHIGORODO</t>
  </si>
  <si>
    <t>D050612013</t>
  </si>
  <si>
    <t>Cliente devuelve 4 cajas de clavo común de 2 1/2  y 5 cajas de 2' de esta misma referencia a 500 gr, el cliente consume solo gramaje de 400 GR, se solicita NC por $ 1.305.270, asesor traslada la mercancía al cliente ORGANIZACIÓN FERKATIO S.A.S pedido 10396856.  Factura de pqr 276131 del 24 abril de 2024</t>
  </si>
  <si>
    <t>ferrenatychigorodo@hotmail.com</t>
  </si>
  <si>
    <t>SUAGRO PR SAS</t>
  </si>
  <si>
    <t>Ciudad:PLANETA RICA  Dir:   CLL. 18 # 6A - 43 BRR CENTRO</t>
  </si>
  <si>
    <t>PLANETA RICA</t>
  </si>
  <si>
    <t>D050612412</t>
  </si>
  <si>
    <t>Cliente devuelve dos cajas de arandela la primera referencia  de 5/16 y la segunda 3/8 por 25 kilos, factura 277433 del 24 de abril, el cliente registraba la factura 277244 con las mismas referencias, solo recibe el primer pedido, solicita NC POR $ 383.500, se traslada mercancía al cliente PEREZ JOSE NAGUAKI pedido  10396859.</t>
  </si>
  <si>
    <t>suagroprsas@hotmail.com</t>
  </si>
  <si>
    <t>JIMENEZ VELASQUEZ JAVIER EUGENIO.</t>
  </si>
  <si>
    <t>JIMENEZ VELASQUEZ JAVIER EUGENIO</t>
  </si>
  <si>
    <t>lucia</t>
  </si>
  <si>
    <t>Ciudad:MEDELLIN  Dir:   CIRC 75 39B 35 APTO 401</t>
  </si>
  <si>
    <t>P050615299</t>
  </si>
  <si>
    <t>capacitacion bex</t>
  </si>
  <si>
    <t>TABORDA ARDILA DIANA LUCIA</t>
  </si>
  <si>
    <t>javier.jimenez@corsan.com.co</t>
  </si>
  <si>
    <t>Q050711069</t>
  </si>
  <si>
    <t>Cliente solicita 5 cajas de clavo común de 2x12 y 5 cajas de clavo Común de 2 1/2 x 11 a 400 gr, reporta faltante de una plegadiza por una libra de 2 1/2 x 11. por favor realizar la retroalimentación a fin de disminuir las quejas bajo esta causa  Factura 274447 del 23 de febrero de 2024    Muchas gracias.</t>
  </si>
  <si>
    <t>FERRETERIA ARCESIO SUAZA MOTTA S.A.S. ZESE</t>
  </si>
  <si>
    <t>Ciudad:RIOHACHA  Dir:   CRA. 7 # 20 - 51</t>
  </si>
  <si>
    <t>RIOHACHA</t>
  </si>
  <si>
    <t>R050715167</t>
  </si>
  <si>
    <t>El cliente solicita 5 cajas de clavo común de 2x 12 a 400gr, reporta faltante de 3 cajas, de la referencia 2 1/2 a 400 gr solicita 10 cajas, reporta faltante por 6 cajas, cliente solicita NC la cual corresponde a $ 994.500, se valida con logística y corresponde a despacho trocado por el conductor.      factura 277300 del 22 de abril 2024</t>
  </si>
  <si>
    <t>matelcariohacha@hotmail.com</t>
  </si>
  <si>
    <t>FERROVARIEDADES EL BORDO</t>
  </si>
  <si>
    <t>OBANDO CAICEDO JOSE LEONARDO</t>
  </si>
  <si>
    <t>Ciudad:PATIA  Dir:   BARRIO ENRIQUE OLAYA HERRERA</t>
  </si>
  <si>
    <t>R050715317</t>
  </si>
  <si>
    <t>Cliente solicita 150 kilos de galvanizado C 18,  reporta faltante de mercancía por 25 kilos, transportadora Transcomercol conductor Diego Giraldo, cliente solicita NC por valor de $183.750   factura 275592 del 15 de marzo de 2024.</t>
  </si>
  <si>
    <t>leon.obando78@hotmail.com</t>
  </si>
  <si>
    <t>REPRESENTACIONES FERROPINTURAS</t>
  </si>
  <si>
    <t>SALDARRIAGA SANCHEZ ALBA ROCIO</t>
  </si>
  <si>
    <t>Ciudad:ISTMINA  Dir:   BRR CUBIS CRR 8 25 50</t>
  </si>
  <si>
    <t>R050807408</t>
  </si>
  <si>
    <t>Cliente solicita cuatro cajas de clavo común de 1 1/2 x 14 a 500gr y llegan cinco cajas, solicita una caja de grapa 1x9 a 1000gr y no llega, se ingresa pedido para el cobro de la caja de 1 1/2 x 14 a 500gr, se solicita NC por valor de $185.804 correspondiente a la grapa 1x9 a 1000gr</t>
  </si>
  <si>
    <t>asesoresprofesionalesconfiables@yahoo.es</t>
  </si>
  <si>
    <t>D050808027</t>
  </si>
  <si>
    <t>Cliente solicita clavo común con cabeza de 2 1/2 x 12 a 400gr, por error la comercial Yolanda Rodriguez ingresa clavo común sin cabeza  de 2 1/2 x 12 a 400gr, cliente solicita devolución y aclara falta una plegadiza que por equivocación utilizaron, se solicita NC por valor de $ 1.326.000 antes de IVA    factura 277474 del 25 de abril de 2024</t>
  </si>
  <si>
    <t>Q050809543</t>
  </si>
  <si>
    <t>El día de ayer se habla con la señora Yolima, quien manifiesta su inconformidad con los tiempos de entrega de nuestra compañía , con reincidencia por demora, se realiza trazabilidad del último pedido:     Compromiso de entrega al cliente- 07 de Mayo   Ingreso del pedido-10 de abril  Salida de producción- 05 de Mayo  Revisión de calidad-06 de Mayo  logística separa-07 de Mayo   Lugar de entrega- Bogotá</t>
  </si>
  <si>
    <t>S050914573</t>
  </si>
  <si>
    <t>Sugerencia</t>
  </si>
  <si>
    <t>Cambiar del embalaje</t>
  </si>
  <si>
    <t>Esto es la prueba de visualizacion desde el perfil de valentina villa. hacer cierre por caso anulado</t>
  </si>
  <si>
    <t>valentina villa</t>
  </si>
  <si>
    <t>EL BODEGON PARA LA CONSTRUCCION SAS</t>
  </si>
  <si>
    <t>Ciudad:VALLEDUPAR  Dir:   CR  11   20   32  BRR LA GRANJA</t>
  </si>
  <si>
    <t>VALLEDUPAR</t>
  </si>
  <si>
    <t>D050916417</t>
  </si>
  <si>
    <t>El asesor Teófilo Rios ingresa 150 kl de alambre recocido C17, el cual solicito anular el cliente  y no fue reportado, cliente solicita NC por valor de $ 661.500 antes de IVA, comercial traslada la mercancía al cliente INVERSIONES AGROCEBA SAS , se ingresa pedido 10397053  para cobro.     FACTURA 277174 del 19 de abril 2024</t>
  </si>
  <si>
    <t>bodegonvalledupar@hotmail.com</t>
  </si>
  <si>
    <t>UNIFEL S.A.</t>
  </si>
  <si>
    <t>Ciudad:BARRANQUILLA  Dir:   VIA 40  60  180  SEC LA LOMA 3</t>
  </si>
  <si>
    <t>R051011396</t>
  </si>
  <si>
    <t>Cliente manifiesta no recibir la mercancía con 388 libras de clavo estriado vertical de 1, por valor de $ 1.850.760 solicita NC DVR1, se ingresa a la empresa  de Transportadores Comerciales Colombianos S.A.S. pedido 10397077 para el cobro, se ingresa nuevo pedido 10397076 a nombre de unifel para el envió de la mercancía.    Factura 276877 12 de abril de 2024</t>
  </si>
  <si>
    <t>compras2@unifelsa.com</t>
  </si>
  <si>
    <t>DEPOSITO AGROPECUARIO DE OCCIDENTE</t>
  </si>
  <si>
    <t>DEPOSITO AGROPECUARIO DE OCCIDENTE S.A.S</t>
  </si>
  <si>
    <t>Ciudad:NECOCLI  Dir:   CLL 50 # 48-29</t>
  </si>
  <si>
    <t>NECOCLI</t>
  </si>
  <si>
    <t>D051014523</t>
  </si>
  <si>
    <t>Cliente solicito 6 cajas de clavo común de 3 x9  500g , el asesor comercial Robinson Gutiérrez ingresa 6 cajas de clavo con cabeza galvanizado electrolítico  3x9 a 500 gr, se solicita  NC por valor de $ 814.764 antes de IVA correspondiente a solo 4 cajas de galvanizado electrolítico  3x9 a 500 gr  , y se factura el pedido 10397093   por un sobrante de 2 cajas de clavo común de 3 x9  500g que recibe el cliente.    factura 277772 del 02 de Mayo de 2024  Cliente envia mercancía recibe Mateo Arango de logística</t>
  </si>
  <si>
    <t>daosuperagro@gmail.com</t>
  </si>
  <si>
    <t>WC EL PUNTO DEL AGRO</t>
  </si>
  <si>
    <t>CANO DUQUE WILMAR HERNAN</t>
  </si>
  <si>
    <t>D051015161</t>
  </si>
  <si>
    <t>Cliente solicita 200 kilos de galvanizado C18 , la comercial Janeth Gomez ingresa por error alambre recocido C18, cliente solicita NC por valor de $1.158.000 antes de iva.    la factura 277938 del 08 de mayo de 2024</t>
  </si>
  <si>
    <t>willycd17@hotmail.com</t>
  </si>
  <si>
    <t>TECNIFERRETERIA S.A.S</t>
  </si>
  <si>
    <t>DISTRIBUCIONES TECNIFERRETERIA S.A.S</t>
  </si>
  <si>
    <t>Ciudad:MEDELLIN  Dir:   CRA. 65 # 20 - 07</t>
  </si>
  <si>
    <t>D051016153</t>
  </si>
  <si>
    <t>El cliente DISTRIBUCCIONES TECNIFERRETERIA S.A.S - NIT 901232911, envió rechazo y correo de la factura 278088 del 10 mayo, solicitaron las siguientes referencias en clavo común a 400 gr, comercial ingresa gramaje de 500:    2 cajas de 2 x12  2 cajas de 2 1/2 x 11  5 cajas de 3 x 9    favor realizar NC DVR1 por $ 1.305.270 antes de iva</t>
  </si>
  <si>
    <t>facturacion@tecniferreteria.com</t>
  </si>
  <si>
    <t>D051016218</t>
  </si>
  <si>
    <t>El cliente DISTRIBUCCIONES TECNIFERRETERIA S.A.S - NIT 901232911, envió rechazo y correo de la factura 278097 del 10 mayo, solicitaron las siguientes referencias en clavo común a 400 gr, Analista de servicio Lucia Taborda ingresa gramaje de 500:    2 cajas de 2 x12  2 cajas de 2 1/2 x 11  5 cajas de 3 x 9    favor realizar NC DVR1 por $ 1.305.270 antes de iva</t>
  </si>
  <si>
    <t>BARRERA CALLEJAS FLOR DIANA</t>
  </si>
  <si>
    <t>Ciudad:CAREPA  Dir:   CL 70 # 78-28</t>
  </si>
  <si>
    <t>CAREPA</t>
  </si>
  <si>
    <t>D051411014</t>
  </si>
  <si>
    <t>El cliente registra en base datos con la dirección errada en el departamento del choco, el comercial no ingresa nota de la dirección de entrega, se solicita cámara de comercio para la corrección en el sistema, el pedido debe ser entregado en la Dirección Cl 70 # 78-28 Carepa Antioquia.        FACTURA 278070 del 10 de Mayo</t>
  </si>
  <si>
    <t>callejasdiana560@gmail.com</t>
  </si>
  <si>
    <t>SITECO S.A.S.</t>
  </si>
  <si>
    <t>Ciudad:MANIZALES  Dir:   KM 10  VIA AL MAGDALENA SENA 500 METROS DESPUES</t>
  </si>
  <si>
    <t>D051411398</t>
  </si>
  <si>
    <t>Cliente recibió un spaider oxidado con la referencia de alambre brillante 2.20 C13 de 604 kilos, adicionalmente llega un segundo spider oxidado y húmedo con la referencia de alambre brillante 5.16 C 6 por 400 kilos, cliente solicita NC por valor de $4.397.520 antes de IVA    factura 278048 del 09 de mayo de 2024.</t>
  </si>
  <si>
    <t>golarte@bpocolombia.com</t>
  </si>
  <si>
    <t>D051414042</t>
  </si>
  <si>
    <t>El cliente solicita hacer devolución de 20 cajas de grapa 11/4 x 9  que el comercial Mario Tejada ingreso en gramaje  de 800 siendo el correcto gramaje de 1000.    Cliente solicita NC por valor de $ 2.743.000 antes de IVA   Factura 278147 del  11 de Mayo de 2024</t>
  </si>
  <si>
    <t>CONSTRUNORTE COMERCIALIZADORA S.A.S.</t>
  </si>
  <si>
    <t>Ciudad:POPAYAN  Dir:   CR 9  67 N 68  BRR BELLO HORIZONTE</t>
  </si>
  <si>
    <t>POPAYAN</t>
  </si>
  <si>
    <t>R051510155</t>
  </si>
  <si>
    <t>Cliente reporta faltante de 50 libras en acero liso de 3', se valida con logística conductor troca la mercancía, se solicita NC por valor de $216.000 antes de IVA    Factura 277575 del 26 de abril de 2024</t>
  </si>
  <si>
    <t>ferreteriaconstrunorte@gmail.com</t>
  </si>
  <si>
    <t>D051517097</t>
  </si>
  <si>
    <t>Cliente solicita 14 cajas de clavo  común con cabeza 3 x 9 , el comercial ingresa la referencia de clavo galvanizado electrolitico 3x9, se solicita NC por valor de $ 2.851.674 antes de IVA    Factura 277931 del 07 de Mayo de 2024</t>
  </si>
  <si>
    <t>ZAYCO SAS</t>
  </si>
  <si>
    <t>Ciudad:EL BAGRE  Dir:   BRR BIJAO K 46 D  CL  50</t>
  </si>
  <si>
    <t>EL BAGRE</t>
  </si>
  <si>
    <t>D051517163</t>
  </si>
  <si>
    <t>Asesor ingresa por error 20 rollos de alambre de púas 14.5 x350  los cuales no fueron solicitados por el cliente, favor realizar NC por valor e $2.711.520 antes de IVA    Factura 276972 del 15 de Abril de 2024</t>
  </si>
  <si>
    <t>zaycosas@hotmail.com</t>
  </si>
  <si>
    <t>TORNICENTRO GROUP</t>
  </si>
  <si>
    <t>TORNICENTRO GROUP S.A.S</t>
  </si>
  <si>
    <t>Ciudad:CUCUTA  Dir:   AV 6 A  0 77 BRR LA MERCED</t>
  </si>
  <si>
    <t>CUCUTA</t>
  </si>
  <si>
    <t>NORTE DE SANTANDER</t>
  </si>
  <si>
    <t>R051612118</t>
  </si>
  <si>
    <t>El cliente solicita 1 millar de tornillos de la referencia 1/4x 1 1/2 wgr , reporta un faltante de 500 unidades, favor realizar NC por valor de 37.480    Factura 278044 del 09 de Mayo de 2024</t>
  </si>
  <si>
    <t>ventas@tornicentro.com.co</t>
  </si>
  <si>
    <t>Logística</t>
  </si>
  <si>
    <t>R051612341</t>
  </si>
  <si>
    <t>El cliente solicita 1 millar de tornillos de la referencia 1/4x 1 1/2 wgr , reporta un faltante de 500 unidades, favor realizar NC por valor de 37.480     Factura 278044 del 09 de Mayo de 2024</t>
  </si>
  <si>
    <t>P051616385</t>
  </si>
  <si>
    <t>Cambio por garantía</t>
  </si>
  <si>
    <t>Cliente solicita el cambio de dos cajas de puntilla de   2' x 400 gr por temas de oxidación  de almacenamiento del cliente.  Factura 274579 del 26 de Febrero de 2023</t>
  </si>
  <si>
    <t>R051712107</t>
  </si>
  <si>
    <t>El cliente reporta un faltante de mercancía de la referencia acero liso de 3 x 3.50, solicita NC por valor de $216.000 antes de IVA    Factura 277575 del 26 de Abril de 2024</t>
  </si>
  <si>
    <t>AGROPECUARIA BAJOGRANDE S.A.</t>
  </si>
  <si>
    <t>Ciudad:ITAGUI  Dir:   CR 42  85 B 71</t>
  </si>
  <si>
    <t>D051715599</t>
  </si>
  <si>
    <t>El cliente realiza pedido errado en las cantidades , necesitaban libras más no cajas, solicitan la devolución de las siguiente referencias :    Clavo común Con cabeza de 2 1/2x 11  cantidad 10 cajas  Clavo común Con cabeza de 3 1/2 x 8 cantidad 20 cajas  Clavo común Con cabeza de 4 x 6 cantidad 30 cajas  Clavo común Con cabeza de 5x5 cantidad  10 cajas      Solicitan NC por valor de $ 10.659.600  antes de IVA, favor recoger mercancía     Factura 277991 del 08 de Mayo del 2024</t>
  </si>
  <si>
    <t>margarita.cardona@bajogrande.co</t>
  </si>
  <si>
    <t>D051716173</t>
  </si>
  <si>
    <t>El cliente realiza pedido errado en las cantidades , necesitaban libras más no cajas solicita la devolución de las siguientes referencias:     clavo común de 2x12 500gr 4 cajas  clavo común de 3x9 500 gr 4 cajas  grapa 1x9 800 gr 1 caja    Solicitan NC por valor de $ 1.369.448 antes de Iva, favor recoger mercancía.  Factura 277950 del 08 de mayo de 2024</t>
  </si>
  <si>
    <t>INVERSIONES AGROCEBA</t>
  </si>
  <si>
    <t>INVERSIONES AGROCEBA S.A.S</t>
  </si>
  <si>
    <t>Ciudad:VALLEDUPAR  Dir:   CLL. 20 # 11 - 211 BRR LA GRANJA LA GRANJA</t>
  </si>
  <si>
    <t>D051716495</t>
  </si>
  <si>
    <t>El cliente solicito 10 cajas de grapa 1x9  a 800 gr, manifiesta se entregaron húmedas, arrugadas y maltratadas, solicita el cambio de 7 cajas de grapa, solicita NC  por valor de $ 960.050 antes de IVA    Factura 278064  del 10 de Mayo de 2024  Se envía video del cliente vía correo electrónico</t>
  </si>
  <si>
    <t>inversionesagroceba.sas@gmail.com</t>
  </si>
  <si>
    <t>INVERSIONES LA ABEJITA SAS</t>
  </si>
  <si>
    <t>Ciudad:LORICA  Dir:   CRA. 25 # 4 B - 21</t>
  </si>
  <si>
    <t>LORICA</t>
  </si>
  <si>
    <t>D052012183</t>
  </si>
  <si>
    <t>Cliente manifiesta le entregaron las siguientes  referencias mojadas :    1 caja de clavo común de 4x6  800gr  7 cajas de clavo común de 2 1/2 x 11 400gr  1 caja de clavo común de 3x9 400gr     Factura 277813 del 03 de Mayo de 2024  Solicita NC por valor de $ 970.200 antes de IVA    Se revisa condiciones de la mercancía y se traslada al cliente Traperos y Escobas ORD SAS pedido 10397404 .</t>
  </si>
  <si>
    <t>inversioneslaabejita@gmail.com</t>
  </si>
  <si>
    <t>FERRI CENTRO DC</t>
  </si>
  <si>
    <t>CASTRO LOAIZA DIANA MARCELA</t>
  </si>
  <si>
    <t>Ciudad:SONSON  Dir:   CLL. 6 # 5 - 31</t>
  </si>
  <si>
    <t>SONSON</t>
  </si>
  <si>
    <t>D052110503</t>
  </si>
  <si>
    <t>El cliente solicita 6 libras de acero liso 1x2.00, el comercial ingresa 50 libras. se solicita NC por valor de $135.900 ya que devolvieron 30 libras .    Factura 277326 del 23 de abril de 2024</t>
  </si>
  <si>
    <t>dianacastro6726@gmail.com</t>
  </si>
  <si>
    <t>R052209348</t>
  </si>
  <si>
    <t>El cliente reporta un faltante de mercancía  por 50 libras en la referencia de  acero liso de 2 1/2,  cliente solicita NC por valor de $216.000, se ingresa pedido 10397507 para gestión de cobro a nombre del conductor Jhonatan Cardenas Mira.    Factura 278196 del 14 de Mayo de 2024.</t>
  </si>
  <si>
    <t>ELECTRICAS JG</t>
  </si>
  <si>
    <t>INVERSIONES PEREZ VELEZ  S.A.S</t>
  </si>
  <si>
    <t>INVERSIONES PEREZ VELEZ S.A.S</t>
  </si>
  <si>
    <t>Ciudad:LA ESTRELLA   Dir:   CLL 98  SUR  48   270  BOD 9</t>
  </si>
  <si>
    <t>D052209594</t>
  </si>
  <si>
    <t>El cliente realiza devolución de 60 millares  del tornillo 1/8x 3/16 redondo, algunos  llegaron sin rosca, y los otros no atornillan, favor realizar NC por valor de $645.840 antes de IVA, se solicita colaboración en la revisión de calidad del producto.    Factura 278175 del 14 de Mayo 2024</t>
  </si>
  <si>
    <t>contabilidad@electricasjg.co</t>
  </si>
  <si>
    <t>TORNILLO ESTUFA 1/8 X 3/16 WGR</t>
  </si>
  <si>
    <t>3TE150WGR</t>
  </si>
  <si>
    <t>Diámetro incorrecto</t>
  </si>
  <si>
    <t>FERRETERIA SAN EDUARDO</t>
  </si>
  <si>
    <t>SAENZ GOMEZ HENRY</t>
  </si>
  <si>
    <t>Ciudad:AGUACHICA  Dir:   CRA. 33 CL 10 # 33 - 07</t>
  </si>
  <si>
    <t>D052215215</t>
  </si>
  <si>
    <t>El cliente solicita 10 cajas de clavo para zinc 2x12 , de las cuales solo logro vender 1 caja, el cliente realiza pedido de forma errada en las cantidades,   solicita autorización para devolver 9 cajas, se autoriza devolución siempre  y cuando la mercancía llegue en buenas condiciones , el cliente asuma el costo de flete  y las haga llegar a nuestra compañía, favor realizar NC 1.392.867    Factura 275050 del 04 de marzo de 2024.</t>
  </si>
  <si>
    <t>henrisaenzgomez@gmail.com</t>
  </si>
  <si>
    <t>GALLON LAVERDE PABLO ENRIQUE</t>
  </si>
  <si>
    <t>Ciudad:AMALFI  Dir:   CLL. CORDOBA # 20 - 41</t>
  </si>
  <si>
    <t>AMALFI</t>
  </si>
  <si>
    <t>D052215491</t>
  </si>
  <si>
    <t>El cliente realiza compra de 4 rollos de alambre de púas 14.5x 500 de los cuales un rollo salió con 138 metros picado y sin púas, se solicita autorización para una reposición de un rollo en C 14.5 x200    Factura 277506 del 25 de Abril de 2024</t>
  </si>
  <si>
    <t>contadorsanmartin17@gmail.com</t>
  </si>
  <si>
    <t>D052216259</t>
  </si>
  <si>
    <t>El cliente solicita devolución y NC de las siguientes referencias:    Factura 262774 del 05 de mayo de 2023  8 cajas de clavo común con cabeza de 1 1/2 x 14 gr 500 NC $ 1.323.496  Factura 262774 del 05 de mayo de 2023  3 cajas de clavo común con cabeza de 2 x 12 gr 500 NC $ 435.870   Factura 270675  del 24 de Noviembre de 2023 8 cajas de clavo común con cabeza de 3 1/2 x 8 gr 500 NC $1.105.000  Factura 264534 del 22 de Junio de 2023 5 cajas de clavo común con cabeza de 1x 16  gr 500 NC $977.00     Total 24  cajas  Valor total de las 3 facturas antes de IVA $ 3.841.366    Entidad sin solvencia económica favor recoger en la dirección FERRETERIA METROPOLIS -  CALLE 20 No. 30-05 - CIENAGA MAGDALENA</t>
  </si>
  <si>
    <t>P052216586</t>
  </si>
  <si>
    <t>El cliente solicita  50 plegadizas de clavo de 3' y 31/2',  por  razones de inundación del negocio, la mercancía se encuentra en buen estado reempacada en bolsas.</t>
  </si>
  <si>
    <t>FIJACIONES TORRES S.A.</t>
  </si>
  <si>
    <t>Ciudad:BOGOTA  Dir:   CL 24 95 12  BG 43 44 PORTOS PAR INDUSTRIAL</t>
  </si>
  <si>
    <t>Q052409102</t>
  </si>
  <si>
    <t>El cliente FIJACIONES TORRES S.A., NIT 860505407, solicita las  siguientes referencias  de   tornillo chazo:     7 x 1 1/2 zgr cantidad 798 millares.   7x2   zgr, cantidad 185 millares    El pedido corresponde a la Factura 278312 del 16 de mayo  del 2024 por valor de $32.820.736,  manifiesta que la puntilla se encuentra mezclada, con rosca lisa, lo cual ocasionó daños en su maquinaria. De momento no realizan devolución para no generar afectación en su producción. Por favor, brindar seguimiento a lo sucedido para garantizar la satisfacción  de nuestros clientes.</t>
  </si>
  <si>
    <t>fijacionestorresproveedor@outlook.com</t>
  </si>
  <si>
    <t>TORNILLO CHAZO 7 x 1-1/2 ZGR
TORNILLO CHAZO 7 x 2 ZGR</t>
  </si>
  <si>
    <t>3TCF07ZGR
3TCH07ZGR</t>
  </si>
  <si>
    <t>Sin pago</t>
  </si>
  <si>
    <t>LISANDRO GOMEZ CASTRO Y CIA. S. EN C.</t>
  </si>
  <si>
    <t>Ciudad:RIOHACHA  Dir:   CR  6  10  42</t>
  </si>
  <si>
    <t>P052409375</t>
  </si>
  <si>
    <t>El cliente nos solicita  plegadizas para reempacar referencias de clavo común. Por motivos de  inundación en su establecimiento, las cajas se encuentran mojadas, solicita:     50 plegadizas para el clavo común de  2”,   50 plegadizas para el clavo común de 2”1/2,   50 plegadizas para el clavo común de 3”.  25 plegadizas para el clavo común de 4”    El cliente paga el servicio de mensajería.</t>
  </si>
  <si>
    <t>ligoca9@hotmail.com</t>
  </si>
  <si>
    <t>D052716391</t>
  </si>
  <si>
    <t>El cliente solicita 1.000 kilos de alambre galvanizado calibre 15 ( 1.80 ) 33G130180,  de los cuales  51.7 kilos de alambre se encuentran enredados, cliente solicita devolución del rollo de alambre y la generación de NC por valor de $300.450, se identifica reincidencia en este tipo de reclamaciones.</t>
  </si>
  <si>
    <t>FERRETERIA Y ELECTRICOS DEL REY</t>
  </si>
  <si>
    <t>MENDEZ OBANDO YONATAN EXNEIDER</t>
  </si>
  <si>
    <t>Ciudad:GIRARDOT  Dir:   CLL. 19 # 14 - 64 BRR GAITAN</t>
  </si>
  <si>
    <t>GIRARDOT</t>
  </si>
  <si>
    <t>D052810423</t>
  </si>
  <si>
    <t>La asesora ingresa por error 3 rollos de alambre  14.5 x 500 los cuales no solicitaron , el cliente devuelve mercancía . por favor realizar NC por valor de $ 532.527 antes de IVA  Factura 278120 del 10 de Mayo</t>
  </si>
  <si>
    <t>jemo1518@gmail.com</t>
  </si>
  <si>
    <t>GRANERO PATTY</t>
  </si>
  <si>
    <t>AGUDELO LONDOÃ?O FRANCISCO LUIS</t>
  </si>
  <si>
    <t>Ciudad:QUIBDO  Dir:   CR 3 24 A 19</t>
  </si>
  <si>
    <t>D052812392</t>
  </si>
  <si>
    <t>El cliente solicita 1 caja de clavo común 4x6,  realiza devolución ya que llego mojada y oxidada, la entrega es realizada por Transcomercol conductor Juan Carlos Velez , se solicita NC por valor de $149.234 antes de IVA    Factura 278338 del 16 de Mayo de 2024</t>
  </si>
  <si>
    <t>magude20@yahoo.es</t>
  </si>
  <si>
    <t>COMCOLANTA</t>
  </si>
  <si>
    <t>ESPAÃ?A PAREDES JAIRO ANTONIO</t>
  </si>
  <si>
    <t>Ciudad:PASTO  Dir:   CL 18 # 17 - 47</t>
  </si>
  <si>
    <t>P052909535</t>
  </si>
  <si>
    <t>El cliente solicita el envio de 10 plegadizas de clavo común de 2  1/2 ya que estas se mojaron, sin embargo la mercancía esta intacta.    Factura  254698 del 21 de Octubre de 2022</t>
  </si>
  <si>
    <t>facturascomcolanta@gmail.com</t>
  </si>
  <si>
    <t>HR FERRETERIAS OCAÃ?A S.A.S.</t>
  </si>
  <si>
    <t>P052910515</t>
  </si>
  <si>
    <t>El cliente solicito 1000 kilos de alambre recocido (33r100142 ) de los cuales devolverán  900 kilos, manifiesta que el alambre  esta duro y acerado, solicita NC por valor de $3.780.000    Factura 278512  del 21 de Mayo de 2024</t>
  </si>
  <si>
    <t>hrferreterias@hotmail.com</t>
  </si>
  <si>
    <t>D052911032</t>
  </si>
  <si>
    <t>El cliente solicito 1000 kilos de alambre recocido (33r100142 ) de los cuales devolverán 900 kilos, manifiesta que el alambre esta duro y acerado, solicita NC por valor de $3.780.000 Factura 278512 del 21 de Mayo de 2024</t>
  </si>
  <si>
    <t>FERRETERIA UNICA</t>
  </si>
  <si>
    <t>FERRETERIA UNICA S.A.S.</t>
  </si>
  <si>
    <t>Ciudad:MEDELLIN  Dir:   CLL 27A #52-49</t>
  </si>
  <si>
    <t>D053011138</t>
  </si>
  <si>
    <t>El cliente realiza pedido de 50 kl de alambre galvanizado C 18, solicita la devolución del material ya que su cliente final no concreto la compra.    Factura 278057  del 09 de Mayo de 2024</t>
  </si>
  <si>
    <t>auxcompras@funica.co</t>
  </si>
  <si>
    <t>P053016355</t>
  </si>
  <si>
    <t>El cliente argumenta inconveniente por lluvias, lo cual propicio que varias cajas se mojaran, solicita las siguientes plegadizas.    Clavo común 3-1/2 × 500gr 50und   -clavo común 2-1/2 × 500gr 80und  -clavo común 1-1/2 × 500gr 50und  - clavo s/c 1 x 500gr 1und  - clavo s/c 2 x 500gr 50und</t>
  </si>
  <si>
    <t>MADERAS Y MOLDURAS CISNEROS</t>
  </si>
  <si>
    <t>ARTEAGA QUINTERO KELLY JOHANA</t>
  </si>
  <si>
    <t>Ciudad:MEDELLIN  Dir:   CLL. 48 # 55 - 63 LC</t>
  </si>
  <si>
    <t>D053114147</t>
  </si>
  <si>
    <t>El cliente manifiesta no solicito la referencia de clavo común 1x17 500gr,  solicita NC por valor de $183.417 antes de IVA  Factura 278981 del 30 de Mayo del 2024</t>
  </si>
  <si>
    <t>kellyjaq1@hotmail.com</t>
  </si>
  <si>
    <t>FABRICOL CIA</t>
  </si>
  <si>
    <t>FABRICOL CIA LTDA</t>
  </si>
  <si>
    <t>Ciudad:MEDELLIN  Dir:   CRA. 55 # 90 - 42</t>
  </si>
  <si>
    <t>D060708538</t>
  </si>
  <si>
    <t>El cliente solicita 50 millares de la referencia 8 x 1/2 UG , varios tornillos estaban sin rosca, realiza la devolución de 27 millares los cuales hay que recoger, favor realizar NC por valor de $607.257.    Factura # 277819 del 06 de Mayo.</t>
  </si>
  <si>
    <t>gerencia@fabricolltda.com</t>
  </si>
  <si>
    <t>TORNILLO LÁMINA 8 x 1/2 UGR</t>
  </si>
  <si>
    <t>3TL708UGR</t>
  </si>
  <si>
    <t>MULTIACABADOS S.A.S.</t>
  </si>
  <si>
    <t>Ciudad:BARRANQUILLA  Dir:   CLL. 76 # 73 - 20</t>
  </si>
  <si>
    <t>D060716574</t>
  </si>
  <si>
    <t>El cliente realiza la devolución de dos cajas, referencia 3/4 x 17 y 1x 16 a 400 gr, por  favor  generar NC por valor de 329.000 y  realizar traslado de mercancía al cliente CANGURO INTERNACIONAL  NIT 802011128,se ingresa pedido 10398112    Factura 278994 del 30 Mayo</t>
  </si>
  <si>
    <t>multiacabados_ltda@hotmail.com.co</t>
  </si>
  <si>
    <t>MIL TORNILLOS S.A.S</t>
  </si>
  <si>
    <t>Ciudad:BARRANQUILLA  Dir:   AV CIRCUNVALAR CLL 110 6Q N 522</t>
  </si>
  <si>
    <t>R061110436</t>
  </si>
  <si>
    <t>Error en digitación</t>
  </si>
  <si>
    <t>El cliente solicita  una caja de puntilla sin cabeza de 1'en clavo común, el asesor ingresa por el error una  caja de puntilla con cabeza de 1', el cliente no devuelve mercancía sin embargo solicita facturar aparte con solo esta referencia, se solicita nota crédito por valor de $142.600, facturar y no despachar pedido 10398167.    factura 278234  del 15 de Mayo</t>
  </si>
  <si>
    <t>comercial@miltornillos.com</t>
  </si>
  <si>
    <t>D061110519</t>
  </si>
  <si>
    <t>El asesor ingresa de forma errada  4 cajas de clavo de Vareta de 4 1/2 código 3CCO558GK, el cliente manifiesta no fueron solicitadas, se solicita NC por valor de $726.000  , favor recoger en la dirección Bodegas Zona espress avenida circunvalar calle 110 # 6 QNF 522 BODEGA 6B    Factura 276878 del 12 de Abril</t>
  </si>
  <si>
    <t>QUINTERO GARZON JULIAN ALEJANDRO</t>
  </si>
  <si>
    <t>Ciudad:MEDELLIN  Dir:   CRA. 55 # 46 - 15</t>
  </si>
  <si>
    <t>D061111527</t>
  </si>
  <si>
    <t>El cliente solicita la devolución de 500 kilos en alambre galvanizado C 12 , ya que su cliente final no concreto el negocio, el señor quintero ´plantea cambio por 500 kilos de alambre galvanizado C14,  solicita NC de la factura 279003  del 30  de mayo de 2024  por valor  $2.621.500 y el ingreso del galvanizado C14.</t>
  </si>
  <si>
    <t>admonferreagropj@gmail.com</t>
  </si>
  <si>
    <t>D061209231</t>
  </si>
  <si>
    <t>El cliente recibió  3 cajas de grapa 1x12 a 800gr con el empaque en mal estado, solicita NC por valor de $411.450    factura 278533 del 21 de Mayo de 2024</t>
  </si>
  <si>
    <t>FERRETODO LA UNION</t>
  </si>
  <si>
    <t>CARRASCAL ARCINIEGAS HACIB</t>
  </si>
  <si>
    <t>D061210421</t>
  </si>
  <si>
    <t>El cliente solicita dos cajas de la referencia 6 x 1/4 en clavo vareta galvanizado electrolítico, las cuales se encontraban mojadas y por ende no recibió, el cliente  solicita NC por valor de $ 320.160  antes de IVA.    Factura 279050 del 31 de Mayo de 2024</t>
  </si>
  <si>
    <t>hcarrascal03@hotmail.com</t>
  </si>
  <si>
    <t>AGROPECUARIA BARBOSA S.A.S.</t>
  </si>
  <si>
    <t>Ciudad:BARBOSA  Dir:   CL   15    15   45</t>
  </si>
  <si>
    <t>BARBOSA</t>
  </si>
  <si>
    <t>D061310122</t>
  </si>
  <si>
    <t>El cliente solicita clavo común de 4' y le entregan clavo común de 6' cantidad una caja, solicita NC por valor de $152.280    Factura  277759 del 2 de Mayo de 2024</t>
  </si>
  <si>
    <t>agropecuariabarbosa02@gmail.com</t>
  </si>
  <si>
    <t>MEGACEMENTOS</t>
  </si>
  <si>
    <t>MEGACEMENTOS LUZ S.A.S.</t>
  </si>
  <si>
    <t>Ciudad:GIRARDOT  Dir:   CRA 2 # 6-121 BRR LLERAS VÃA PRINCIPAL MUNICIPIO FLANDE</t>
  </si>
  <si>
    <t>D061310599</t>
  </si>
  <si>
    <t>El cliente solicita devolver la siguiente mercancía ya que se encuentra en proceso para el cierre de su local:    C.C X 400 GR X 3'   (3CCL097NV) X 5 cajas- factura 257581 del 26 de dic de 2022     C.C X 400 GR X 2'    (3CCH127NV) X 7 cajas- factura 257581 del 26 de dic de 2022    C.C X 400 GR X 11/2 ( 3CCF147NV) X 2 cajas- factura 254254 del 13 de Oct de 2022      14 cajas    ACERO CONCRETO X 31/2 (3CAM432PL) = 200 LIBRAS - factura 257581 del 26 de dic 2022    ACERO CONCRETO X11/2(3CAF352PL)= 50 LIBRAS- factura 254254 del 13 de oct 2022    ACERO CONCRETO X11/2(3CAF352PL)= 50 LIBRAS-factura 255863 del 17 de nov de 2022    ACERO CONCRETO X 2' ( CAH432PL) = 200 LIBRAS -  factura 257581 del 26 de dic 2022    ACERO CONCRETO X 21/2 ( 3CAK432PL) = 50 lIBRAS- factura 257581 del 26 de dic 2022    ACERO CONCRETO X 3' ( 3CAL432PL) = 50 LIBRAS- factura 257581 del 26 de dic 2022    Para un total de 600 libras.    NC factura 257581 $3.652.400  NC factura 255863 $226.550  NC factura 254254 $621.350   TOTAL: $4.500.300</t>
  </si>
  <si>
    <t>megacementosluz@hotmail.com</t>
  </si>
  <si>
    <t>D061814459</t>
  </si>
  <si>
    <t>El cliente realiza la devolución del alambre especial 5.08-5.10 C6, un total  de $3.609 kl, por la resistencia, aclara debe estar en  40 y 55 Kg/mm² y el material recibido esta en 37 y 39 Kg/mm²    Factura 279357 del 12 de Junio de 2024</t>
  </si>
  <si>
    <t>CONSTRUDESA SOLUCIONES S.A.S</t>
  </si>
  <si>
    <t>Ciudad:POPAYAN  Dir:   CLL. 5 # 26 - 19</t>
  </si>
  <si>
    <t>R061815087</t>
  </si>
  <si>
    <t>El cliente manifiesta no solicito las referencias  2' 500gr ya que utiliza gramaje de 400, se solicita NC por valor de $276.250, se reubican las cajas al cliente Juan Edilmar Gaviria nit 76319615, pedido</t>
  </si>
  <si>
    <t>facturacionconstrudesa@gmail.com</t>
  </si>
  <si>
    <t>D061915394</t>
  </si>
  <si>
    <t>El cliente solicito 5 rollos de púas de la referencia 14.5 x 200 mtr y le entregaron 5 rollos de  5 de púas de 16.5 x 200 mtr, cliente solicita el envió de la mercancía a sus instalaciones.     Factura N° 279713</t>
  </si>
  <si>
    <t>CENTRO DE MATERIALES LA CASITA</t>
  </si>
  <si>
    <t>RAMIREZ QUINTERO NELLIVIA</t>
  </si>
  <si>
    <t>Ciudad:GUARNE  Dir:   CR   50   46   44 INT 101</t>
  </si>
  <si>
    <t>GUARNE</t>
  </si>
  <si>
    <t>P062112169</t>
  </si>
  <si>
    <t>El cliente solicita el envió de  plegadizas, ya que por inundaciones de la bodega se encuentran mojadas, la mercancía se encuentra en buen estado.     Solicita:    20 plegadizas de 4'  20 plegadizas de 5'  20 plegadizas de 6'   en grama de 1000</t>
  </si>
  <si>
    <t>compras@cmlacasita.com.co</t>
  </si>
  <si>
    <t>GRUPO FERRETERO PAEZ</t>
  </si>
  <si>
    <t>PAEZ PEREZ PEDRO ALONSO</t>
  </si>
  <si>
    <t>Ciudad:SOLEDAD  Dir:   CR 12 C 87 - 59 BRR LOS CEREZOS</t>
  </si>
  <si>
    <t>SOLEDAD</t>
  </si>
  <si>
    <t>D062511496</t>
  </si>
  <si>
    <t>El cliente no recibe la mercancia de la factura 279506 del 14 e Junio, por demora la entrega, esta corresponde a:    3 rollos de púas 16.x 200  6 rollos de púas 16.5x400  1 caja de clavo comun 2 x12 a 400 gr  1 caja de clavo comun 2 1/2 x 11 a 400 gr  1 caja de clavo comun 231/2 x 11 a 400 gr    Total NC 1.125.855 antes de IVA</t>
  </si>
  <si>
    <t>pedroferrepaez@gmail.com</t>
  </si>
  <si>
    <t>D062512092</t>
  </si>
  <si>
    <t>El cliente no recibe la mercancía de la factura 279506 del 14 e Junio, por demora la entrega, esta corresponde a: 3 rollos de púas 16.x 200 6 rollos de púas 16.5x400 1 caja de clavo comun 2 x12 a 400 gr 1 caja de clavo común 2 1/2 x 11 a 400 gr 1 caja de clavo comun 231/2 x 11 a 400 gr Total NC 1.125.855 antes de IVA.</t>
  </si>
  <si>
    <t>S062512468</t>
  </si>
  <si>
    <t>El cliente reportar despliegue en las plegadizas de grapa, nos aclara a reportado este incidente en reiteradas ocasiones, requiere una pronta solución para continuar realizando sus pedidos.</t>
  </si>
  <si>
    <t>PROVEEDORA EL BAGRE</t>
  </si>
  <si>
    <t>ZAYAS CORDERO AMAURY MIGUEL</t>
  </si>
  <si>
    <t>Ciudad:EL BAGRE  Dir:   FRENTE AL PARQUE BIJAO</t>
  </si>
  <si>
    <t>D062612108</t>
  </si>
  <si>
    <t>El cliente reporta una caja de clavo común la cual llego mojada y oxidada, referencia clavo común de 4x6 a 1000g, se ingresa pedido para gestión de cobro a Transportes Salgar NC 142.129, pedido 10398864    factura 279414 del 13 de Junio de 2024</t>
  </si>
  <si>
    <t>proveedoraelbagre1@hotmail.com</t>
  </si>
  <si>
    <t>Q062612391</t>
  </si>
  <si>
    <t>Mala Prestación del Servicio</t>
  </si>
  <si>
    <t>El cliente expresa su inconformidad en la asignación de citas. El día de ayer realizaron un pedido a las 11:22 am,  programaron cita,   siendo la 01:44 pm ingresan otro pedido;   solo le entregaron   el primer pedido.  Para la entrega del segundo pedido, realizo otro viaje.      El cliente  asume el costo de ingreso a la mayorista y el transporte. Nos pregunta qué acciones de mejora o solución de fondo le podemos brindar sin afectar la relación comercial.</t>
  </si>
  <si>
    <t>JOSE ADAN OQUENDO L. E HIJOS LIMITADA</t>
  </si>
  <si>
    <t>Ciudad:SANTAFE DE ANTIOQUIA  Dir:   CL 10  10 27</t>
  </si>
  <si>
    <t>SANTAFE DE ANTIOQUIA</t>
  </si>
  <si>
    <t>D062614301</t>
  </si>
  <si>
    <t>El cliente realiza la devolución de 4 cajas de clavo común de 3 x9 500g, solo solicitaron una caja favor realizar NC por valor de $568.516 , factura 279874 del 21 junio de 2024.</t>
  </si>
  <si>
    <t>joseadanoquendo.1164@hotmail.com</t>
  </si>
  <si>
    <t>PEREZ Y CARDONA S.A.S</t>
  </si>
  <si>
    <t>Ciudad:MEDELLIN  Dir:   CL   32   48   45</t>
  </si>
  <si>
    <t>D062711257</t>
  </si>
  <si>
    <t>El cliente solicito alambre galvanizado C14 un rollo de 50 kilos, la asesora ingresa 50 kilos de dicha referencia en rollos de 25 kl, se solicita NC por valor de $336.770     Remisión 2136 del 24 de Junio</t>
  </si>
  <si>
    <t>facturaspyc@perezycardona.com.co</t>
  </si>
  <si>
    <t>D062717343</t>
  </si>
  <si>
    <t>Mercancía mezclada</t>
  </si>
  <si>
    <t>El cliente solicito 70 cajas de clavo común de 2 x12 de las cuales 11 plegadizas se encuentran con referencias mezcladas, aceros, clavo de de pulgadas más altas, el cliente solicita cambio, el cual se efectuó a través del asesor.</t>
  </si>
  <si>
    <t>RM SOLUCIONES FERRETERIA</t>
  </si>
  <si>
    <t>MENDOZA BLANCHAR RICARDO REY</t>
  </si>
  <si>
    <t>Ciudad:FUNDACION  Dir:   CLL. 4 # 7 A  - 43</t>
  </si>
  <si>
    <t>FUNDACION</t>
  </si>
  <si>
    <t>D062816343</t>
  </si>
  <si>
    <t>El cliente solicita 100 libras de acero liso de 2 1/2 y 200 libras de acero liso de 3, el asesor ingresa acero estriado vertical, se solicita NC por $1.455.000    Factura 278872 del 27 de Junio de 2024</t>
  </si>
  <si>
    <t>rmsolucionesferreteria@gmail.com</t>
  </si>
  <si>
    <t>D070309486</t>
  </si>
  <si>
    <t>El cliente recibio una caja de clavo común de 4' x 800 gr, una vez fue revisada las plegadizas estaban mojadas con los clavos oxidados, manifiesta el conductor realiza la entrega con la caja desbaratada, solicita NC por valor de $ 113.705 antes de IVA, factura 280038.</t>
  </si>
  <si>
    <t>AGROFINCA DISTRIBUIDORA AGROPECUARIA S.A.S</t>
  </si>
  <si>
    <t>Ciudad:CAUCASIA  Dir:   CR 2  20 51  BRR EL CENTRO</t>
  </si>
  <si>
    <t>D070310293</t>
  </si>
  <si>
    <t>El cliente solicita dos cajas de clavo común de 1 1/2 500 g, y le entregan solo una caja de esta referencia, adicionalmente entregan una caja de clavo común de 2' a 500g, el cliente solicita NC por valor de $147.919 antes de IVA, se ingresa pedido 10399058 para el cobro de la caja de 2' por valor de $142.129.    Factura 280217 del 28 de Junio de 2024</t>
  </si>
  <si>
    <t>agrofincadistribuidora@gmail.com</t>
  </si>
  <si>
    <t>D070508297</t>
  </si>
  <si>
    <t>El cliente no recibe dos cajas de la referencia 2 1/2 x 11 a 400g,el material llego húmedo, solicita NC por valor de $ 215.600 antes de IVA    Factura 280001 del 26 de Junio de 2024</t>
  </si>
  <si>
    <t>P070508457</t>
  </si>
  <si>
    <t>El Cliente solicita solicita 50 plegadizas de las referencia 4 x 1000 g, ya que al transportarlas a su cliente final fueron mojadas, la mercancía se encuentra en buen estado.</t>
  </si>
  <si>
    <t>P070511389</t>
  </si>
  <si>
    <t>El cliente solicita 76 cajas plegadizas de la referencia clavo estriado vertical de 1 x 3 ya que le entregaron las cajas arrugadas y aplastadas, requiere reponerlas para su venta.    Factura 279281 del 07 de Junio de 2024.</t>
  </si>
  <si>
    <t>CASTELLANOS LOPEZ CARMELINO</t>
  </si>
  <si>
    <t>Ciudad:FONSECA  Dir:   CL 13   16 140</t>
  </si>
  <si>
    <t>D070516223</t>
  </si>
  <si>
    <t>El cliente solicito 3 cajas de grapa de la referencia 1x9 a 800g, el asesor ingresa la referencia 1x 12 800g, el cliente solicita NC por valor de $453.624, el comercial traslada la mercancía al cliente Mendoza Blanchar Ricardo Rey pedido 10399194    factura 277306l 22 de Abril</t>
  </si>
  <si>
    <t>soc.tierrasanta@gmail.com</t>
  </si>
  <si>
    <t>FERRETERIA E EXITO</t>
  </si>
  <si>
    <t>FONTALVO VEGA CESAR AUGUSTO</t>
  </si>
  <si>
    <t>Ciudad:EL CARMEN DE BOLIVAR  Dir:   CR 51 ENTRE 21 Y 22 21 17</t>
  </si>
  <si>
    <t>EL CARMEN DE BOLIVAR</t>
  </si>
  <si>
    <t>R070811529</t>
  </si>
  <si>
    <t>El cliente manifiesta no le entregaron una caja de grapa 1 x 12 800 gr, se ingresa pedido 10399237 a nombre de Transportadora  BJ, por favor realizar NC por valor de 139.688 antes de IVA    Factura 278720 del 24 de Mayo de 2024.</t>
  </si>
  <si>
    <t>ferreteriaeexito@hotmail.com</t>
  </si>
  <si>
    <t>INVERSIONES SURTIORIENTE SAS</t>
  </si>
  <si>
    <t>Ciudad:CERETE  Dir:   TRAN 21 A  # 17 - 19  BRR EL TOTUMO</t>
  </si>
  <si>
    <t>CERETE</t>
  </si>
  <si>
    <t>D070811587</t>
  </si>
  <si>
    <t>El cliente devuelve una caja de grapa 1x12 a 800gr ya que se encuentra mojada, por favor realizar NC por valor de $133.036 antes de IVA.    Factura 279974 del 25 Junio de 2024.</t>
  </si>
  <si>
    <t>martha.alvarez@proveoriente.com</t>
  </si>
  <si>
    <t>D070812078</t>
  </si>
  <si>
    <t>El cliente devuelve una caja de clavo estriado vertical  2 1/2 x 4  y una caja de clavo común con cabeza de 2 1/2 x 11a 400 gr por mal estado, se solicita NC por valor de $ 339.640 antes de IVA.    Factura 278930 del 29 de Mayo     Empresa de transporte Transcomercol.</t>
  </si>
  <si>
    <t>AGROCENTRO FERRETERO M S ZOMAC S.A.S.</t>
  </si>
  <si>
    <t>Ciudad:CAREPA  Dir:   CRA. 80 76 48</t>
  </si>
  <si>
    <t>D070812136</t>
  </si>
  <si>
    <t>El cliente  realiza devolución de la referencia clavo común con cabeza 1/2 x18 400gr, manifiesta no fue solicitada, por favor realizar NC por valor de $153.270 antes de IVA    Factura 280120 del 28 de Junio de 2024.</t>
  </si>
  <si>
    <t>agrocentroferreteroms@gmail.com</t>
  </si>
  <si>
    <t>FERRETERIA EL CASTILLO</t>
  </si>
  <si>
    <t>BERNATE RODRIGUEZ ANGELA GEOVANNA</t>
  </si>
  <si>
    <t>Ciudad:GIRARDOT  Dir:   CR  10   20   46</t>
  </si>
  <si>
    <t>R070911025</t>
  </si>
  <si>
    <t>El cliente reporta faltante de la referencia clavo común de 2 x12, cantidad 1 caja y faltante de la referencia clavo común 3x9 cantidad una caja, solicita NC 227.410 por valor de antes de IVA    Factura 279677 del 18 de Junio</t>
  </si>
  <si>
    <t>ferrecasti2011@hotmail.com</t>
  </si>
  <si>
    <t>FERROELECTRICOS JUNIOR L.B</t>
  </si>
  <si>
    <t>BENAVIDES RAMIREZ EFRAIN LEANDRO</t>
  </si>
  <si>
    <t>Ciudad:IPIALES  Dir:   CRA. 5 # 15 - 50</t>
  </si>
  <si>
    <t>IPIALES</t>
  </si>
  <si>
    <t>R070911206</t>
  </si>
  <si>
    <t>El cliente reporta faltante de las siguientes referencias:  Galvanizado C 14 - 2 kl, galvanizado C12 1 kilo, alambre recocido 3 kilos.        Factura 278898 del 28 de Mayo</t>
  </si>
  <si>
    <t>leandro11r@hotmail.com</t>
  </si>
  <si>
    <t>FERRETERIA EL CARRETERO</t>
  </si>
  <si>
    <t>CALVO CARDONA DANIEL MAURICIO</t>
  </si>
  <si>
    <t>Ciudad:POPAYAN  Dir:   CRA. 9 # 70N - 02</t>
  </si>
  <si>
    <t>R070914554</t>
  </si>
  <si>
    <t>El cliente solicita una tonelada de alambre recocido, el cual tiene precio antes de IVA de 4.200 y sube al sistema con un valor de $4.410 antes de IVA, el comercial no tiene opción de modificar precios, se escala con sistemas, el cliente solicita NC por valor de $210.000</t>
  </si>
  <si>
    <t>elcarreteroferreteria@gmail.com</t>
  </si>
  <si>
    <t>Faltante de peso</t>
  </si>
  <si>
    <t>DISTRICONSTRUCCIONES MONTELIBANO</t>
  </si>
  <si>
    <t>GARCIA VILLADA LINA MARIA</t>
  </si>
  <si>
    <t>Ciudad:MONTELIBANO  Dir:   CR  4  17   09</t>
  </si>
  <si>
    <t>MONTELIBANO</t>
  </si>
  <si>
    <t>R070916305</t>
  </si>
  <si>
    <t>El asesor ingresa el pedido 10398845 del cual se solicita anulación por ingreso doble, se solicita NC DVR2  de la factura 280471 del 09 de Julio de 2024.</t>
  </si>
  <si>
    <t>durangoc98@hotmail.com</t>
  </si>
  <si>
    <t>PERCEPTICA S.A.S</t>
  </si>
  <si>
    <t>Ciudad:SABANETA  Dir:   CLL. 65 SUR # 42B 14IN 803</t>
  </si>
  <si>
    <t>D070917365</t>
  </si>
  <si>
    <t>El cliente realiza la devolución de 9.1 millares en la tornillería 8 x 3/8 UG  ya que se encuentran con rosca lisa.    Factura 279842 del 21 de Junio de 2024</t>
  </si>
  <si>
    <t>comercial@perceptica.com.co</t>
  </si>
  <si>
    <t>TORNILLO LÁMINA 8 X 3/8 UGR</t>
  </si>
  <si>
    <t>3TL508UGR</t>
  </si>
  <si>
    <t>No procedente</t>
  </si>
  <si>
    <t>P071015419</t>
  </si>
  <si>
    <t>El cliente solicita 76 plegadizas de la referencia CLAVO DE ACERO ESTRIADO DE 1' ya que la mercancía fue entregada con las cajas averiadas.    Factura 279281 del 07 de Junio de 2024</t>
  </si>
  <si>
    <t>Rosca lisa</t>
  </si>
  <si>
    <t>D071115399</t>
  </si>
  <si>
    <t>El asesor ingresa el pedido y este no quedo registrado, razón por la cual procede a ingresar un segundo pedido, se reporta a sistema la inconsistencia, sin embargo se facturaron ambos pedidos, el cliente solicita la NC de la factura 280376 del 05 Julio correspondiente al pedido 10399104 por valor de $10.520.850 antes de IVA.</t>
  </si>
  <si>
    <t>FERRETERIA EL CONSTRUCTOR</t>
  </si>
  <si>
    <t>ARCINIEGAS SOSSA LYDA MIREYA</t>
  </si>
  <si>
    <t>Ciudad:SIBUNDOY  Dir:   CL   15   16  54</t>
  </si>
  <si>
    <t>SIBUNDOY</t>
  </si>
  <si>
    <t>D071215023</t>
  </si>
  <si>
    <t>Pedido ingresado doble por oficina, el cliente solicita NC por valor de $5.178.390 antes de IVA    Factura 279964 del 25 de Junio</t>
  </si>
  <si>
    <t>ferreteriaelconstructor2019@hotmail.com</t>
  </si>
  <si>
    <t>FERROAGROPECUARIA YARUMAL</t>
  </si>
  <si>
    <t>MONTES PALACIO LUIS ENRIQUE</t>
  </si>
  <si>
    <t>Ciudad:LORICA  Dir:   CRR 4 #24-36B BRR CASCAJAL</t>
  </si>
  <si>
    <t>R071216448</t>
  </si>
  <si>
    <t>El cliente solicito 10 rollos de alambre de púas 16.5 x 200 y entregan 11 rollos se ingresa pedido 10399488 , solicita 15 rollos de la referencia 16.5 x400 y le entregan 14 rollos se solicita NC por valor de $105.790    Factura 278011 del 09 de Mayo de 2024</t>
  </si>
  <si>
    <t>afinancieraytributaria@gmail.com</t>
  </si>
  <si>
    <t>R071810396</t>
  </si>
  <si>
    <t>El cliente solicita clavo acero vertical de 2 y le entregado clavo común de 2 1/2 de 400 gr cantidad una caja, se solicita NC por valor de $242.500, el cliente se queda con la referencia de clavo común de 2 1/2 se ingresa pedido 10399699.    Factura 280534 del 09 de Julio.</t>
  </si>
  <si>
    <t>R071914251</t>
  </si>
  <si>
    <t>El cliente solicita 1000 kilos de la referencia alambre brillante 3.40 calibre 10 de los cuales se despachan 1.102 kl, se ingresa pedido 10399762, solicita 500 kl de la referencia alambre brillante 4.20 C 8 y solo recibe 400 kl, se solicita NC por valor de $430.000 antes de IVA.    Factura 280252 del 02 de Julio 2024.</t>
  </si>
  <si>
    <t>HERRAJES VERA</t>
  </si>
  <si>
    <t>HERRAJES VERA S.A.S</t>
  </si>
  <si>
    <t>Ciudad:ITAGUI  Dir:   CR 53 # 13C SUR 113 LC 121</t>
  </si>
  <si>
    <t>D071915017</t>
  </si>
  <si>
    <t>El cliente manifiesta  solicito  500 kl de alambre brillante calibre 17  1.42, indica llego muy blando y no se deja trabajar, el cliente solicita NC por valor de $2.366.500 antes de IVA     Factura 279628 del 17 de Junio.</t>
  </si>
  <si>
    <t>herrajesvera@une.net.co</t>
  </si>
  <si>
    <t>DISTRIBUIDORA FERREFER PASTO SAS</t>
  </si>
  <si>
    <t>Ciudad:PASTO  Dir:   CLL. 17 # 9 - 31 BRR FATIMA</t>
  </si>
  <si>
    <t>R072211598</t>
  </si>
  <si>
    <t>El cliente solicita 6 rollos de alambre de púas 14.5 x135, se le cobra un valor menor $6.252 siendo el precio correcto 64.445 antes de IVA una diferencia de 58.193 antes de IVA, favor realiza NC por valor de $349.158    Factura 280989 del 19 de Julio</t>
  </si>
  <si>
    <t>ferreferpasto@gmail.com</t>
  </si>
  <si>
    <t>Baja resistencia a la tracción</t>
  </si>
  <si>
    <t>D072309106</t>
  </si>
  <si>
    <t>El cliente solicito 5 cajas de clavo común de 4' a 1000 g, y se digitaron 5 cajas de 4 ' galvanizado electrolítico, el cliente solicita la NC por valor de $704.750 antes de IVA    Factura 280979 del 19 de Julio</t>
  </si>
  <si>
    <t>FERRTERIA SERVIPAISA</t>
  </si>
  <si>
    <t>ESPINOSA OSORIO INES ZORAIDA</t>
  </si>
  <si>
    <t>ESPINOSA OSORIO INES</t>
  </si>
  <si>
    <t>Ciudad:POPAYAN  Dir:   CLL 68 # 13-77 BRR BELLO HORIZONTE</t>
  </si>
  <si>
    <t>R072407541</t>
  </si>
  <si>
    <t>El cliente solicita 200 kl de alambre recocido el cual tiene un precio de $4.200 el sistema por error sube un valor errado, $ 4.410 por favor realizar NC por valor de $42.000    Factura 280834 del 17 de Julio de 2024.</t>
  </si>
  <si>
    <t>ferreteriaservipaisa@hotmail.com</t>
  </si>
  <si>
    <t>PROALCO S.A.S</t>
  </si>
  <si>
    <t>PRODUCTORA DE ALAMBRES COLOMBIANOS PROALCO S.A.S</t>
  </si>
  <si>
    <t>Ciudad:SIBATE  Dir:   AVE. AUTOPISTA SUR KM 25 VIA SIBATE</t>
  </si>
  <si>
    <t>SIBATE</t>
  </si>
  <si>
    <t>D072408154</t>
  </si>
  <si>
    <t>El cliente solicita mediante la OC : 2017627089 y factura 275787 del 19 de Marzo de 2024, referencias de clavo común con cabeza big bag de las cuales las siguientes presentan oxidación, 1000 kg de 2 1/2 x 11, 3000 kg de 4x6 y 125 kg de 5x5, el cliente solicita NC por valor de $19.263.750 antes de IVA.</t>
  </si>
  <si>
    <t>martha.mora@bekaert.com</t>
  </si>
  <si>
    <t>Oxidación-Sulfatación</t>
  </si>
  <si>
    <t>SIMELCA</t>
  </si>
  <si>
    <t>SOCIEDAD INDUSTRIAL METAL ELÃ?CTRICA S.A.S</t>
  </si>
  <si>
    <t>Ciudad:MEDELLIN  Dir:   CL 19   43 B 44</t>
  </si>
  <si>
    <t>R072416412</t>
  </si>
  <si>
    <t>El cliente solicito 50 millares del tornillo 7 x3 código 3tlc07zgr el cual debe facturarse bajo la razón social TERMINADOS ELECTROMECANICOS INDUSTRIALES S.A.S, solicita NC por valor de $2.564.650 antes de IVA, pedido 10399948.    Factura 281012 del 22 de Julio de 2024</t>
  </si>
  <si>
    <t>compras@simelca.com.co</t>
  </si>
  <si>
    <t>Pendiente</t>
  </si>
  <si>
    <t>Oxidación</t>
  </si>
  <si>
    <t>Se envía informe y carta en la que se aclara política de reclamación por oxidación</t>
  </si>
  <si>
    <t>D072508138</t>
  </si>
  <si>
    <t>El cliente solicito 4 cajas de CLAVOS COMUN CON CABEZA 2-1/2” x 400gr,  el asesor ingresa clavo de 500gr, se solicita NC por valor de $541.452 antes de IVA, el asesor traslada la mercancia al cliente LOPEZ DE MEZA EDILIA pedido 10399958</t>
  </si>
  <si>
    <t>D072508575</t>
  </si>
  <si>
    <t>El cliente solicito según OC 22295 sede Bodega 10 rollos de alambre de púas 14.5x 200, y se ingresaron 10 rollos de 16.5 x 200, cliente solicita NC por valor de $738.000 antes de IVA     Factura 281139 del 24 de Julio.</t>
  </si>
  <si>
    <t>CENTRO FERRETERO MAFER S.A.S.</t>
  </si>
  <si>
    <t>Ciudad:BOGOTA  Dir:   CR 15  12  65 BRR MARTIRES</t>
  </si>
  <si>
    <t>D072511288</t>
  </si>
  <si>
    <t>El cliente solicita 20 rollos de 16.5 x  400, el comercial ingresa 16.5x 200, solicita NC por valor de $ 1.001.040 antes de IVA    Factura 280898 del 17 de Julio de 2024  Costo flete: 100.000</t>
  </si>
  <si>
    <t>contabilidadmafersas@hotmail.com</t>
  </si>
  <si>
    <t>FERROMATERIALES FIDEL SABANALARGA S.A.S</t>
  </si>
  <si>
    <t>Ciudad:SABANALARGA  Dir:   CLL. 27 # 24 A - 21 BRR ISABEL CRISTINA</t>
  </si>
  <si>
    <t>SABANALARGA</t>
  </si>
  <si>
    <t>D072515516</t>
  </si>
  <si>
    <t>El cliente indica no solicito las grapas las cuales se encuentran con el número de factura 280675 del 12 de Julio de 2024, cantidad 6 cajas referencia 1x12 a 800gr, solicita NC por valor de $838.128, se ingresa pedido 10399992  con cobro a la empresa Rápido Ochoa por entrega en mal estado de 3 cajas de grapa.</t>
  </si>
  <si>
    <t>lenys_ruiz08@hotmail.com</t>
  </si>
  <si>
    <t>D072516219</t>
  </si>
  <si>
    <t>El cliente solicito 6  cajas de grapa, referencia 1x12 a 800gr, factura  280675 del 12 de julio de 2024, no recibe el pedido, solicita NC  por valor de  $838.128, se ingresa pedido 10399992 con cobro a la empresa Rápido Ochoa por entregar en mal estado 3 cajas de grapa.</t>
  </si>
  <si>
    <t>INDUSTRIAS BERPEZ S.A.S.</t>
  </si>
  <si>
    <t>Ciudad:MEDELLIN  Dir:   CLL. 111 FF # 64 A - 13</t>
  </si>
  <si>
    <t>D072610444</t>
  </si>
  <si>
    <t>El cliente solicita  10 millares de la referencia 8x 3/8 ugr, factura 280430 del 8 de Julio de 2024, manifiesta se encuentra defectuoso ,con mayor diámetro y los hilos de la rosca muy mal definidos solicita reposición de 8500 millares o en su defecto NC por valor de $154.700 antes de IVA.</t>
  </si>
  <si>
    <t>info@industriasberpez.com</t>
  </si>
  <si>
    <t>No</t>
  </si>
  <si>
    <t>Se realizó Nota crédito más no se realizó carta e informe al cliente. Se cerró la solicitud con la Nota crédito.</t>
  </si>
  <si>
    <t>D072914548</t>
  </si>
  <si>
    <t>El cliente realiza la devolución de 4 cajas de clavo común con cabeza 4x6 a 1000g, el pedido fue ingresado el 15 de Julio y se despacho ocho días después, según la disponibilidad de carro, cliente solicita NC de $541.452 por demora en la entrega.    factura 280997 del 22 de Julio</t>
  </si>
  <si>
    <t xml:space="preserve">Diámetro superior de la rosca exterior </t>
  </si>
  <si>
    <t>se hizo nota crédito pendiente informe y carta, Medir unidades de estas referencias disponibles en inventario y validar si ya se despachó</t>
  </si>
  <si>
    <t>D072915311</t>
  </si>
  <si>
    <t>El cliente realiza devolución de 8 cajas plegadizas correspondiente a la referencia clavo común de 3/4, estas llegaron mezcladas con otras referencias de clavo y con viruta, solicitamos colaboración por favor con acciones de mejora  ya que es el segundo reporte de este tipo. el cliente solicita la reposición de las 8 libras  y realizar el respectivo envió.       Factura 280845 del 17 de Julio de 2024.</t>
  </si>
  <si>
    <t>D073009215</t>
  </si>
  <si>
    <t>El cliente solicitó 50 kilos de alambre galvanizado C 15- 1.80 perteneciente a la factura 281220 del 26 de julio  y 50 kilos de la factura 280862 del 17 de julio, se solicita NC por valor de $ 294.000 antes de IVA en cada factura, el cliente solicita reposición, ya que llego enredado, adicionalmente registra con un pedido ´pendiente de 450 kilos, por favor revisar el estado de esta referencia antes de su envío, se envía correo con el video que emite el cliente.    Muchas gracias.</t>
  </si>
  <si>
    <t>D.A. LTDA</t>
  </si>
  <si>
    <t>DISTRIBUIDORA ALEDSAN LIMITADA</t>
  </si>
  <si>
    <t>Ciudad:BOGOTA  Dir:   CR 103 F # 136 - 30</t>
  </si>
  <si>
    <t>D073009517</t>
  </si>
  <si>
    <t>El asesor digita erradamente la referencia  2 millares de 1/8 x 1/2 WTR , el cual no fue solicitado, el cliente necesita NC por valor de $25.054 antes de IVA, factura 281086 del 23 de Julio de 2024.</t>
  </si>
  <si>
    <t>facturaciond.a.ltda@gmail.com</t>
  </si>
  <si>
    <t>Enredado</t>
  </si>
  <si>
    <t>No quedó con los archivos adjuntos</t>
  </si>
  <si>
    <t>R080611057</t>
  </si>
  <si>
    <t>El cliente solicito dos cajas de la referencia clavo común con cabeza de 3' x 9 a 500g, solo se le entrego una caja, solicita  NC por valor de $142.129 antes de IVA, se ingresa pedido 10400448  a nombre de Transportes Segovia.    Factura 280218 del 28 de Junio de 2024.</t>
  </si>
  <si>
    <t>FERRECONSTRUCTORES DEL SUR</t>
  </si>
  <si>
    <t>TOBAR YAGUAPAZ LEONARDO FABIO</t>
  </si>
  <si>
    <t>Ciudad:IPIALES  Dir:   CRA. 5 # 16 - 44</t>
  </si>
  <si>
    <t>R080611124</t>
  </si>
  <si>
    <t>El cliente solicita 2 cajas de clavo común de 3x9 a 400gr, solo entregan una caja. Solicita NC por valor de $113.705 antes de IVA, se ingresa pedido  10400450 a nombre TRANSCOMERCOL / conductor Ivan Bolaños.    Factura 280290 del 03 de Julio</t>
  </si>
  <si>
    <t>leonardoftovar87@gmail.com</t>
  </si>
  <si>
    <t>ALVAREZ TOBON NILSON JAVIER</t>
  </si>
  <si>
    <t>Ciudad:CAUCASIA  Dir:   CRA. 1 # 21 - 53 BRR CENTRO</t>
  </si>
  <si>
    <t>D080611289</t>
  </si>
  <si>
    <t>El cliente  solicita NC  por valor de $154.763 antes de IVA correspondiente al clavo de zinc 2x12, manifiesta  no fue solicitado.    Factura 280509 del 09 de Julio 2024</t>
  </si>
  <si>
    <t>javi-tobon@hotmail.com</t>
  </si>
  <si>
    <t>CENTROMATERIALES GARCIA Y DIAZ GOMEZ  HNOS</t>
  </si>
  <si>
    <t>CENTROMATERIALES GARCIA Y DIAZ GOMEZ HNOS LTDA</t>
  </si>
  <si>
    <t>Ciudad:LOS PATIOS  Dir:   AV 10 18 97 BRR VIDELSO</t>
  </si>
  <si>
    <t>LOS PATIOS</t>
  </si>
  <si>
    <t>R080615237</t>
  </si>
  <si>
    <t>El cliente manifiesta no haber recibido su pedido, factura 280361 del 04 de Julio, valor $1.943.444 con IVA, solicita NC, la transportadora no realiza la entrega.</t>
  </si>
  <si>
    <t>centromateriales@hotmail.com</t>
  </si>
  <si>
    <t>D080615426</t>
  </si>
  <si>
    <t>El cliente no recibe mercancía, indica  llego doble, adicionalmente se facturan dos OC en una sola factura, cliente solicita NC por valor de $4.359.414 IVA incluido.    FACT 280822 DEL 16 de Julio.</t>
  </si>
  <si>
    <t>Q080616522</t>
  </si>
  <si>
    <t>El cliente realiza pedido según factura 281316 del 29 de Julio, el pedido se facturo sin cita , requieren  nueva factura correspondiente al mes de agosto.</t>
  </si>
  <si>
    <t>SUDELEC S.A.</t>
  </si>
  <si>
    <t>SOCIEDAD UNIDA DE ELECTRODOMESTICOS S.A. SUDELEC S</t>
  </si>
  <si>
    <t>Ciudad:BOGOTA  Dir:   CR 68 D 39 F 34 SUR</t>
  </si>
  <si>
    <t>R080812123</t>
  </si>
  <si>
    <t>El cliente solicito 910 kl de varilla C 1/4 6.35 mm x 1.219 mt  y llegaron 884 kl, falta un paquete de 26 kl, se solicita NC correspondiente a $121.056 antes de IVA.    Factura 281571 del 02 de Agosto.</t>
  </si>
  <si>
    <t>goperaciones@sueco.co</t>
  </si>
  <si>
    <t>Q080814438</t>
  </si>
  <si>
    <t>El cliente expresa que la varilla 1/4 6.35 mm x 0.452 mt llego en 0.451 un milímetro menos y la varilla 1/4 6.35 x 1.219 mt llego en 1.218 mt, confirma que los tiquetes vinieron marcados solo con la referencia 0.452 siendo  la referencia 1.219 mt    Factura 281259 del 26 de Julio de 2024</t>
  </si>
  <si>
    <t>3VV1045635</t>
  </si>
  <si>
    <t>Longitud inferior</t>
  </si>
  <si>
    <t>P081215036</t>
  </si>
  <si>
    <t>El cliente solicita 400 plegadizas de las referencia 2 1/2 y 250 plegadizas de 2'  en clavo común a 500gr, su bodega se vio afectada por inundación.</t>
  </si>
  <si>
    <t>MAYORISTAS JOW DULCERIA JOW</t>
  </si>
  <si>
    <t>PEREZ ARIAS ELIZABETH</t>
  </si>
  <si>
    <t>Ciudad:QUIBDO  Dir:   CRA. 5 # 25-59</t>
  </si>
  <si>
    <t>P081215165</t>
  </si>
  <si>
    <t>El cliente manifiesta que las cajas plegadizas se desarmaron, solicita reposición en las siguientes referencias de clavo común de 2'   cinco plegadizas , de 3'  cinco plegadizas, de 4 cinco plegadizas  a 500 gr.</t>
  </si>
  <si>
    <t>distrijow@hotmail.com</t>
  </si>
  <si>
    <t>Q081215473</t>
  </si>
  <si>
    <t>El cliente manifiesta que las cajas plegadizas se están desarmando, solicita reposición en las siguientes referencias de clavo común de 2' cinco plegadizas , de 3' cinco plegadizas, de 4 cinco plegadizas a 500 gr.</t>
  </si>
  <si>
    <t>Pendiente cajas por parte de logística</t>
  </si>
  <si>
    <t>PARQUEADERO LA PLAYITA</t>
  </si>
  <si>
    <t>VELEZ LOPEZ CARLOS ALBERTO</t>
  </si>
  <si>
    <t>Ciudad:CALDAS  Dir:   CRA. 48 # 130 SUR - 82</t>
  </si>
  <si>
    <t>Cartera</t>
  </si>
  <si>
    <t>P081216148</t>
  </si>
  <si>
    <t>Cambio de razón social</t>
  </si>
  <si>
    <t>Se solicita colaboración, por favor, realizando el cambio de razón social, para facturación de pedidos a nombre de Inversiones Morgan VL S.A.S. NIT: 901834723. Favor reasignar a logística para la respectiva NC por valor de $642.434, IVA incluido, se ingresa pedido N.º 10400680.     Factura 281600 del 05 de agosto de 2024.</t>
  </si>
  <si>
    <t>canoclaudia1221@gmail.com</t>
  </si>
  <si>
    <t>Caja desfondada</t>
  </si>
  <si>
    <t>DISTRIBUCIONES Y FERRETERIA JG S.A.S.</t>
  </si>
  <si>
    <t>Ciudad:JAMUNDI  Dir:   CLL. 12 # 13 - 74  BRR SIMON BOLIVAR</t>
  </si>
  <si>
    <t>JAMUNDI</t>
  </si>
  <si>
    <t>D081216373</t>
  </si>
  <si>
    <t>El cliente manifiesta no tener capacidad de pago en las facturas pendientes, solicita que se reciban en abono a la deuda 100 libras de acero liso de 1 1/2  factura 246048 de abril de 2022 y una caja de acero de liso de 2' factura 260718 del 21 de marzo de 2023, tratara de ponerse al día en el menor tiempo posible.</t>
  </si>
  <si>
    <t>En Tramite</t>
  </si>
  <si>
    <t>distribucionesjg@hotmail.com</t>
  </si>
  <si>
    <t>R081217075</t>
  </si>
  <si>
    <t>En la asesoría comercial, el cliente asume erradamente el valor brindado en la puntilla , solicita un descuento del 2% en clavo común, se solicita NC por valor de 41.150 antes del IVA  correspondiente a   19 cajas en clavo común.    Factura 281391 del 30 de Julio de 2024.</t>
  </si>
  <si>
    <t>Q081308339</t>
  </si>
  <si>
    <t>El cliente interpone nuevamente PQRS por calidad en el alambre de púas 12.5 x 400, cantidad un rollo, expresa tiene varios empates, solicita NC por valor $222.922 antes de IVA factura 279253 del 07 de Junio de 2024.</t>
  </si>
  <si>
    <t>33P125400</t>
  </si>
  <si>
    <t>Empate</t>
  </si>
  <si>
    <t>Nota crédito realizada</t>
  </si>
  <si>
    <t>TORNILLOS Y HERRAMIENTAS 777 CALLE 13 SAS</t>
  </si>
  <si>
    <t>Ciudad:BOGOTA  Dir:   CL 13 22-92</t>
  </si>
  <si>
    <t>P081310093</t>
  </si>
  <si>
    <t>Cambio de factura</t>
  </si>
  <si>
    <t>El cliente solicita cambio de factura por fecha de cierre al 25 de cada mes, solicita NC de las factura 278948 del 29 de Mayo por valor de $748.486  IVA incluido  y 279010 del 30 de Mayo  por valor de $ 163.201  IVA incluido de 2024 pedidos 10400703,10400704, facturar por pedido.</t>
  </si>
  <si>
    <t>facturaciontyhcalle13@gmail.com</t>
  </si>
  <si>
    <t>Q081311067</t>
  </si>
  <si>
    <t>El cliente manifiesta que el día 12 de agosto se brindo cita para la entrega de dos facturas, la 281836 y 281835 del 12 de agosto, reporta faltantes en ambas facturas clavo común de 3 '15 cajas , 4' 3 cajas , vareta de 4 1/2 1 caja , grapa de 1 1/4x 9 100 4 cajas, solicitan cita para entrega del material el13 de Agosto.</t>
  </si>
  <si>
    <t>FERRO-MATERIALES DEL NORTE</t>
  </si>
  <si>
    <t>FERRO-MATERIALES DEL NORTE S.A.S</t>
  </si>
  <si>
    <t>Ciudad:BELLO  Dir:   CLL. 55 # CR 51 - 40</t>
  </si>
  <si>
    <t>D081312461</t>
  </si>
  <si>
    <t>El cliente manifiesta solicitud por error  50 libras de la referencia liso 3 1/2 siendo la correcta, acero  concreto de 3 1/2 se solicita NC por valor de 219.700    Factura 281907 del 13 de agosto</t>
  </si>
  <si>
    <t>facturacionferro1@gmail.com</t>
  </si>
  <si>
    <t>ROJAS FIGUEROA EVER</t>
  </si>
  <si>
    <t>Ciudad:SAN ANDRES DE TUMACO  Dir:   CLL. POPAYAN FRENTE AL MUELLE LOS POLOS  # C</t>
  </si>
  <si>
    <t>Q081411012</t>
  </si>
  <si>
    <t>El cliente solicito 3 rollos de púas de la referencia 12.5x 400, indica   salieron cortados sin púas, no cuenta con banda, emite fotos.    Factura 276063 del 22 de Marzo de 2024</t>
  </si>
  <si>
    <t>agroinsumoselmuelle.tumaco@gmail.com</t>
  </si>
  <si>
    <t>Empate, sin púas, picado</t>
  </si>
  <si>
    <t>MADERAS DEL SUR</t>
  </si>
  <si>
    <t>CADAVID RESTREPO RAMON NICOLAS</t>
  </si>
  <si>
    <t>Ciudad:POPAYAN  Dir:   CR 12 17 04  BRR EL DEAN</t>
  </si>
  <si>
    <t>D081411472</t>
  </si>
  <si>
    <t>El cliente solicito dos cajas de clavo común de 3' a 500 gr, se entrego en gramaje de 400, el pedido es de contado, solicita NC por valor de $298.468 antes de IVA, se ingresa pedido de reposición 10400784, la mercancía se traslada al señor HOYOS NARANJO HERNANDO DE JESUS pedido 10400785.    Factura 281359 del 30 de Julio de 2024</t>
  </si>
  <si>
    <t>maderasdelsurpopayan@hotmail.com</t>
  </si>
  <si>
    <t>D081415066</t>
  </si>
  <si>
    <t>El cliente devuelve mercancía ya que solicito erradamente la referencia clavo común con cabeza 3/4 x17 y 1 x16  500 gr, requiere   NC por valor de $205.270.    Factura 281068 del 23 de Julio</t>
  </si>
  <si>
    <t>DISTRIBUCIONES LA GANGA</t>
  </si>
  <si>
    <t>INVERSIONES GIZU S.A.S</t>
  </si>
  <si>
    <t>Ciudad:MONTERIA  Dir:   KM4 BOG60 VIAPLANETARICA CENTROLOGISTEINDUSTR SAN JERONI</t>
  </si>
  <si>
    <t>D081508145</t>
  </si>
  <si>
    <t>El cliente devuelve 40 cajas de clavo común de 3' en gramaje de 500, ya que solicito gramaje de 400, solicita NC por valor de $ 5.414.520 antes de IVA , el asesor traslada la mercancía al cliente Distrias nit 900377621, se ingresa pedido 10400831.</t>
  </si>
  <si>
    <t>sgiraldo@distriganga.com</t>
  </si>
  <si>
    <t>FERRETERIA DEL AGRO</t>
  </si>
  <si>
    <t>VASQUEZ CORTEZ FRANCISCO JULIAN</t>
  </si>
  <si>
    <t>Ciudad:PUERTO BERRIO  Dir:   CR 1   11  19</t>
  </si>
  <si>
    <t>PUERTO BERRIO</t>
  </si>
  <si>
    <t>Q081510245</t>
  </si>
  <si>
    <t>El cliente solicito un pedido el día 06 de Agosto de 2024, emite audio manifestando su inconformidad en los tiempos de entrega, el pedido se facturo hoy 15 de agosto.</t>
  </si>
  <si>
    <t>ferreteriadelagro@hotmail.com</t>
  </si>
  <si>
    <t>PROTOR S.A.S</t>
  </si>
  <si>
    <t>Ciudad:MEDELLIN  Dir:   CR 48 CL 63-63 BRR PRADO CENTRO</t>
  </si>
  <si>
    <t>R082009387</t>
  </si>
  <si>
    <t>El cliente  solicitó clavo común de 1 1/2 x 14 galvanizados electrolítico a 500 gr, y se le entregó clavo común  1 1/2 x 14 a 500 gr, cantidad 5 cajas, solicita NC por valor mayor cobrado  de $ 300.110 antes de IVA.    Factura 282053 del 15 de Agosto.</t>
  </si>
  <si>
    <t>protorltda@gmail.com</t>
  </si>
  <si>
    <t>GIOVANNI PIA E HIJOS S.A.</t>
  </si>
  <si>
    <t>Ciudad:MEDELLIN  Dir:   CL 31 #  43 A 172</t>
  </si>
  <si>
    <t>Q082111195</t>
  </si>
  <si>
    <t>El cliente informa que  el alambre recocido calibre 1.90 mm correspondiente a la factura # 281613  del 05 agosto,  llegó con poros. También manifiestan que llega muy pegado y están tratando de trabajarlo. por el momento el cliente no realiza devolución.</t>
  </si>
  <si>
    <t>fact.prove@giovannipia.com</t>
  </si>
  <si>
    <t>33R100190</t>
  </si>
  <si>
    <t>Piel de naranja</t>
  </si>
  <si>
    <t>ACCESORIOS TORNICENTER LTDA</t>
  </si>
  <si>
    <t>ACCESORIOS TORNICENTER LTDA .</t>
  </si>
  <si>
    <t>Ciudad:CALI  Dir:   CRA. 7 # 16 - 33</t>
  </si>
  <si>
    <t>D082116061</t>
  </si>
  <si>
    <t>El cliente solicito tornillo de 3 16 x 1 1/4 y el comercial ingreso 31/6 × 1/4, código 3TE354WGR, cantidad   5 millares, el cliente  devuelve mercancía, por favor realizar NC por valor de $90.315 antes de IVA    Factura 281912 del 13 de Agosto de 2024.</t>
  </si>
  <si>
    <t>mao-tornicenter@hotmail.com</t>
  </si>
  <si>
    <t>D082214508</t>
  </si>
  <si>
    <t>El cliente solicito 2 cajas de clavo común 4x 6 a  1000 gr y le enviaron en gramaje de 800, el cliente  solicita NC por valor de $216.580 antes de IVA, el comercial traslada la mercancía al cliente ANDRADE VARGAS LUIS  EDUARDO, pedido 10401106.    Factura 280982 del 19 de Julio de 2024</t>
  </si>
  <si>
    <t>Q082309425</t>
  </si>
  <si>
    <t>El cliente solicito  20 cajas de clavo común con cabeza de 1 1/2 x 14 a 400g, y seis cajas en su interior se encuentran con clavo  común de 2 1/2 a 400g, cliente solicita NC por valor de $662.676 antes de IVA, se ingresa pedido número 10401134 para el cobro del clavo de 2 1/2.    Factura 282152 del 16 de Agosto</t>
  </si>
  <si>
    <t>3CCF147NV</t>
  </si>
  <si>
    <t>El cliente se quedó con las 6 cajas de 2 ½ x 11, se ingresó nuevo pedido para facturarlas</t>
  </si>
  <si>
    <t>D082611338</t>
  </si>
  <si>
    <t>El asesor manifiesta no haber ingresado el pedido, se escala con sistema ya que se  duplico el pedido anterior. El cliente solicita NC por valor de $ 1.343.915 iva incluido factura 282129 del 16 de agosto, por favor recoger mercancía.</t>
  </si>
  <si>
    <t>R082614239</t>
  </si>
  <si>
    <t>El cliente solicito dos cajas de  clavo acero liso  de 2 1/2  y llegaron tres cajas, se ingresa pedido  10401221 para el cobro de las 50 libras,   solicito 50 libras de acero estriado vertical de 2 1/2 y no llego, , se solicita NC por valor de $231.350 antes de IVA   Factura 281999 del 14 de Agosto.</t>
  </si>
  <si>
    <t>Mal etiquetado</t>
  </si>
  <si>
    <t>CONSTRUAGRO C.H</t>
  </si>
  <si>
    <t>CONSTRUAGRO C.H S.A.S</t>
  </si>
  <si>
    <t>Ciudad:FRONTINO  Dir:   CRA. 36 # 16 - 64</t>
  </si>
  <si>
    <t>Q082615433</t>
  </si>
  <si>
    <t>El cliente solicito un pedido el día 14 de agosto y lo recibió el día 23 de agosto. manifiesta su inconformidad con relación a los tiempos de entrega.     Factura 282200 del 20 de Agosto</t>
  </si>
  <si>
    <t>construagroch@gmail.com</t>
  </si>
  <si>
    <t>Q082708591</t>
  </si>
  <si>
    <t>El cliente solicito 50 millares de la referencia 5/32 x 1/4 wgr, manifiesta que varias bolsas  vienen con la cabeza del tornillo mala (no enrosca)    Factura 277458 del 25 de Abril</t>
  </si>
  <si>
    <t>TORNILLO ESTUFA 5/32 x 1/4 WGR</t>
  </si>
  <si>
    <t>3TE352WGR</t>
  </si>
  <si>
    <t>Huella obstruida</t>
  </si>
  <si>
    <t>Consultar con el cliente qué requiere, mostrarle a Mesa</t>
  </si>
  <si>
    <t>ASERRIOS MADEPINOS</t>
  </si>
  <si>
    <t>MATERIALES Y MEDERAS MADEPINOS S.A.S.</t>
  </si>
  <si>
    <t>Ciudad:BELLO  Dir:   DIAG 52 # 12  - 295</t>
  </si>
  <si>
    <t>D082709259</t>
  </si>
  <si>
    <t>El cliente solicito 10 cajas de clavo común 3x9 a 400gr, la comercial ingresa gramaje de 500 solicitan recoger mercancía y realizar NC por valor de $1.421.290 antes de IVA.    Factura 281295 del 29 de Julio</t>
  </si>
  <si>
    <t>tesoreria@madepinos.com.co</t>
  </si>
  <si>
    <t>D082710389</t>
  </si>
  <si>
    <t>El cliente solicito 100 kilos de alambre galvanizado C 12, entregaron un rollo de 50 kl averiado (hundido) cliente devuelve mercancía y solicita NC por valor de $254.000 antes de IVA    Factura 281863 del 12 de Agosto</t>
  </si>
  <si>
    <t>FERRETERIA BOHORQUEZ</t>
  </si>
  <si>
    <t>BOHORQUEZ GALVIZ JESUS ALVEIRO</t>
  </si>
  <si>
    <t>Q082716108</t>
  </si>
  <si>
    <t>El cliente manifiesta inconformidad en la calidad del alambre de púas 12.5 x 400,   indica que un rollo tiene empates, la púa separada.  En la llamada realizada menciona que tenemos la peor calidad en púas  y cuelga. Revisando el historial de compra, el cliente solicita  cantidades considerables en esta referencia, motivo por el cual es necesario un análisis más exhausto de lo sucedido  y evaluar la posibilidad de una reposición.   Factura 281763 del 08  de agosto.</t>
  </si>
  <si>
    <t>ferreborquez-2003@hotmail.com</t>
  </si>
  <si>
    <t>A la espera de Nota crédito por parte de cartera</t>
  </si>
  <si>
    <t>Reposición</t>
  </si>
  <si>
    <t>FERROSVEL S.A.S</t>
  </si>
  <si>
    <t>Ciudad:MEDELLIN  Dir:   CL 31 B  81 E 140</t>
  </si>
  <si>
    <t>D082811374</t>
  </si>
  <si>
    <t>El cliente solicito 125 kl de alambre galvanizado C10, la comercial ingresa el código errado, se modifica el peso a 25 kilos, sin embargo tenían un precio con descuento, se solicita NC por valor de $35.000 antes de IVA,  con IVA 41.650,   precio con descuento por kilo de alambre 4.800 precio ingresado 5.080.    Factura 282516 del 27 de Agosto.</t>
  </si>
  <si>
    <t>analista.compras@ferrosvel.com</t>
  </si>
  <si>
    <t>R082816394</t>
  </si>
  <si>
    <t>El cliente solicito 3 cajas de clavo común de 3x9 a  500gr y 1 caja de clavo común con cabeza de 4x6, se le entregaron las cuatro cajas en clavo común de 3', se solicita cambio mano a mano.    factura 282310 del 22 de agosto</t>
  </si>
  <si>
    <t>ALMACEN RODIL</t>
  </si>
  <si>
    <t>LOPERA RAMIREZ JESUS ALEJANDRO</t>
  </si>
  <si>
    <t>Ciudad:AMALFI  Dir:   CL   BOLIVAR  19   33</t>
  </si>
  <si>
    <t>Q082909318</t>
  </si>
  <si>
    <t>El cliente se encuentra inconforme con el tiempo de entrega de la mercancía, solicito pedido el día 29 de Julio y se le entrego el día 03 de agosto.    Factura 281503 del 31 de Julio</t>
  </si>
  <si>
    <t>almacenrodil@gmail.com</t>
  </si>
  <si>
    <t>TORAGRO EL MEJOR AMIGO DE SU FINCA</t>
  </si>
  <si>
    <t>RENDON TABIMBA RICARDO JAVIER</t>
  </si>
  <si>
    <t>Ciudad:PUERTO TRIUNFO  Dir:   CL 20 19 87</t>
  </si>
  <si>
    <t>PUERTO TRIUNFO</t>
  </si>
  <si>
    <t>Q082909402</t>
  </si>
  <si>
    <t>El cliente se encuentra muy a disgusto con los tiempos de entrega en su pedido, el cual realizo el día 16 de agosto  y el 22 de agosto de 2024, factura 282421  del 23 de agosto y 282582 del 28 de agosto</t>
  </si>
  <si>
    <t>toragro@gmail.com</t>
  </si>
  <si>
    <t>FERRECENTRO MUNDIAL S.A.S. ZOMAC</t>
  </si>
  <si>
    <t>Ciudad:MOCOA  Dir:   CLL. 10 # 7 - 64 BRR MODELO</t>
  </si>
  <si>
    <t>MOCOA</t>
  </si>
  <si>
    <t>R082912221</t>
  </si>
  <si>
    <t>El cliente solicita dos cajas de  clavo común de 4' x 6 y se envían dos cajas de clavo común de 4x6 a 1000gr galvanizado electrolítico , el cliente recibe la mercancía, se autorizo un descuento del 3%, por favor realizar nota crédito por valor mayor cobrado  de 11.534 antes de IVA con IVA $13.725    Factura 280522 del 09 de Julio de 2024.</t>
  </si>
  <si>
    <t>facturas@ferrecentromocoa.com</t>
  </si>
  <si>
    <t>HERRAMIENTAS Y SERVICIOS JM S.A.S</t>
  </si>
  <si>
    <t>Ciudad:MEDELLIN  Dir:   CRR 71A 25 A 34</t>
  </si>
  <si>
    <t>D082914321</t>
  </si>
  <si>
    <t>El cliente manifiesta no tener capacidad de pago, solicita se acepte la devolución de las siguientes referencias: Clavo c/c 21/2 x 500 grs una caja ,  Acero concreto 3' 50 lbs, factura 268159 del 23 de septiembre del 2023, NC por valor de $384.248 antes de IVA y  Clavo s/c 2' x 500 grs factura 275547 del 14 de marzo de 2024,NC por valor de $145.030 antes de iva</t>
  </si>
  <si>
    <t>dir.general@jmsas.co</t>
  </si>
  <si>
    <t>RINCON DORADO WILLIAM ALBERTO</t>
  </si>
  <si>
    <t>Ciudad:SANTANDER DE QUILICHAO  Dir:   CRA. 18 B 15 04</t>
  </si>
  <si>
    <t>SANTANDER DE QUILICHAO</t>
  </si>
  <si>
    <t>Q083012089</t>
  </si>
  <si>
    <t>El cliente manifiesta tener inconsistencias en la referencia de alambre galvanizado C 11, llego muy duro y variado (heterogéneo) , todo el alambre llego sin etiquetas y sin envolver, identificaron dos rollos en calibre 10.5 (3.20mm) y el pedido esta por 2.500kilos de calibre 11, el alambre llego con apariencia muy opaca, la referencia en mención no se deja trabajar generando paros innecesarios e improductividad en el proceso con desperdicios.    Facturas 280802  y 280801 del 16 de Julio de 2024</t>
  </si>
  <si>
    <t>williamdorado2@gmail.com</t>
  </si>
  <si>
    <t>33G110300</t>
  </si>
  <si>
    <t>Heterogéneo</t>
  </si>
  <si>
    <t>Hacer seguimiento por parte de Lucía</t>
  </si>
  <si>
    <t>Q083012196</t>
  </si>
  <si>
    <t>El cliente se encuentra insatisfecho con la referencia de alambre galvanizado C 11, el cual utiliza para la elaboración de mallas, registra queja anterior, sin embargo manifiesta nuevas inconsistencias, un rollo en la mitad del trabajo salio sin galvanizar (quemado), posteriormente salio acerado. Facturas 280802 y 280801 del 16 de Julio de 2024.</t>
  </si>
  <si>
    <t>Apariencia defectuosa</t>
  </si>
  <si>
    <t>FERRETERIA SURTIDOR AG</t>
  </si>
  <si>
    <t>GIL BARROS MERLY DEL SOCORRO</t>
  </si>
  <si>
    <t>Ciudad:MONTERIA  Dir:   CRA. 2  # 38 - 22  BRR CENTRO</t>
  </si>
  <si>
    <t>D083012252</t>
  </si>
  <si>
    <t>El cliente solicito 6 cajas de clavo común 3x 9 a 400gr y una de ellas se encuentra averiada, solicita NC por valor de $108.290 antes de IVA    Factura 281849 del 12 de Agosto de 2024.</t>
  </si>
  <si>
    <t>doraisa0101@hotmail.com</t>
  </si>
  <si>
    <t>Heterogéneo, sin envoltura</t>
  </si>
  <si>
    <t>TRATAR S.A.</t>
  </si>
  <si>
    <t>TRATAMIENTOS TERMICOS S.A.S</t>
  </si>
  <si>
    <t>Ciudad:MEDELLIN  Dir:   CL 29C   53 23</t>
  </si>
  <si>
    <t>D083012518</t>
  </si>
  <si>
    <t>El cliente solicito su pedido con factura 282346 para envió a la sede de Bogotá, el comercial no genera la nota con  dirección de entrega, se entrega en la sede principal (Medellín), el material deberá traerse nuevamente a corsan para su posterior envió.    factura 282346  del 22 de agosto</t>
  </si>
  <si>
    <t>contabilidadtratar@tratar.com.co</t>
  </si>
  <si>
    <t>AGRO Y CONCENTRADOS TIERRALTA SAS</t>
  </si>
  <si>
    <t>Ciudad:TIERRALTA  Dir:   CLL. 11 # 16 - 25 BRR ALFONSO LOPEZ</t>
  </si>
  <si>
    <t>TIERRALTA</t>
  </si>
  <si>
    <t>R083014361</t>
  </si>
  <si>
    <t>El cliente solicito cinco cajas de clavo común de 11/2x14 a 400gr y solo entregaron cuatro cajas, solicita NC por valor de $ 112.700 antes de IVA    Factura 282649 del 28 de Agosto de 2024</t>
  </si>
  <si>
    <t>agroyconcentradostierraltasas@gmail.com</t>
  </si>
  <si>
    <t>Q083014417</t>
  </si>
  <si>
    <t>El cliente solicito en la referencia de alambre galvanizado C 10.5</t>
  </si>
  <si>
    <t>33G110320</t>
  </si>
  <si>
    <t>Se programa reunión para análisis el 11/9
Se realizó análisis. El 17/09/2024 se envía informe y carta, se está a la espera del material para hacer pruebas cuando llegue</t>
  </si>
  <si>
    <t>D083015056</t>
  </si>
  <si>
    <t>El cliente solicito 10 cajas de clavo de 2 1/2 a 400gr y el asesor ingreso dos cajas, solicito dos cajas de clavo común de 3 1/2 a 400gr e ingreso 10 cajas,  el asesor realiza traslado de 8 cajas de clavo de 31/2  a la empresa Agroandina de Nariño Nit  900243893, se ingresa pedido 10401466, favor realizar NC por valor de $848.992 antes de IVA.    Factura 282150 del 16 de agosto de 2024.</t>
  </si>
  <si>
    <t>D083016004</t>
  </si>
  <si>
    <t>El cliente solicito 10 cajas de  clavo común de 2x 12 a 500gr y le entregaron una caja con marcación en la master de clavo común de 2x12 a 500 y las plegadizas son en gramaje de 400, se solicita NC por valor de $135.363 antes de IVA, se ingresa pedido para reposición 10401467    Factura281955 del 14 de agosto</t>
  </si>
  <si>
    <t>3CCH127NK</t>
  </si>
  <si>
    <t>Referencia diferente</t>
  </si>
  <si>
    <t>El 18 se envío informe y carta por correo electrónico a Lucía para que comparta con el cliente. Queda pendiente recolección del material, validar reposición y nota crédito.</t>
  </si>
  <si>
    <t>D090215293</t>
  </si>
  <si>
    <t>El pedido con número de factura 282646 del 28 de agosto, presenta varias inconsistencias faltantes, trocados y devolución de mercancía,el cliente solicito 20 libras de acero liso de 11/2 y no llegaron ,valor de $87.880 antes de IVA, el acero estriado vertical de 2' solicitaron 12 libras, no llegaron  lo cual suma 58.200 antes de IVA, concreto de 2' solicitaron 25'  libras y llegaron 37, devolvieron 12 libras, del concreto de 2 1/2  solicitaron 25 librar entregaron 24 libras, falto una libra $4.394 y enviaron una libra de estriado vertical  de 21/2 la cual fue devuelta, se solicita NC por valor total de $150.474</t>
  </si>
  <si>
    <t>FERRETERIA PUNTO AMARILLO YARUMAL S.A.S</t>
  </si>
  <si>
    <t>Ciudad:YARUMAL  Dir:   CR 20  # 21 - 63</t>
  </si>
  <si>
    <t>YARUMAL</t>
  </si>
  <si>
    <t>D090215581</t>
  </si>
  <si>
    <t>El cliente reporta que recibió doble pedido, factura 281951 del 14 agosto, se valida información y el caso fue escalado con sistemas por error de la plataforma, cliente devuelve mercancía, favor realizar NC por valor de $1.443.686 IVA incluido.</t>
  </si>
  <si>
    <t>administrativo@puntoamarillo.co</t>
  </si>
  <si>
    <t>PERNOS Y TORNILLOS FV SAS</t>
  </si>
  <si>
    <t>Ciudad:BOGOTA  Dir:   CLL. 29 BIS SUR # 26 C  - 70</t>
  </si>
  <si>
    <t>R090309444</t>
  </si>
  <si>
    <t>El cliente solicito mediante la factura 281937 del 14 de agosto, 50 millares de 1/4 x 1/2  xgr, indica que faltan 745 unidades, solicita la reposición.</t>
  </si>
  <si>
    <t>pernosytornillosfv@gmail.com</t>
  </si>
  <si>
    <t>TORNILLO ESTUFA 1/4 x 1/2 XGR</t>
  </si>
  <si>
    <t xml:space="preserve">Se envía a logística para reposición
Logística repuso 1 millar </t>
  </si>
  <si>
    <t>CANGURO INTERNACIONAL S.A.</t>
  </si>
  <si>
    <t>Ciudad:BARRANQUILLA  Dir:   CLL. 37 # VIA 40 - 190</t>
  </si>
  <si>
    <t>P090314392</t>
  </si>
  <si>
    <t>El cliente solicita cambio de facturas por cierre contable, la mercancía se facturo el 29 de agosto con entrega en el mes de Septiembre,facturas 282662,282663,282664, favor realizar DVR2, se ingresan los pedidos 10401607, 10401608,10401609.</t>
  </si>
  <si>
    <t>COMPRAS@CANGURO.COM.CO</t>
  </si>
  <si>
    <t>PLASTICOS Y AGRICOLAS DEL QUINDIO S.A.S.</t>
  </si>
  <si>
    <t>Ciudad:ARMENIA  Dir:   CL 18  18  41  LC 1</t>
  </si>
  <si>
    <t>ARMENIA</t>
  </si>
  <si>
    <t>QUINDIO</t>
  </si>
  <si>
    <t>D090314585</t>
  </si>
  <si>
    <t>El cliente devuelve mercancía, informa que no solicito la referencia clavo común sin cabeza de 3/4 x 18 a 400gr, cantidad dos cajas, solicita NC por valor de $291.942 antes de IVA, factura 282328 del 22 de agosto de 2024.</t>
  </si>
  <si>
    <t>plasticosyagricolasdelquindio@hotmail.com</t>
  </si>
  <si>
    <t>FERROELECTRICOS VARGAS</t>
  </si>
  <si>
    <t>FERROELECTRICOS VARGAS S.A.S</t>
  </si>
  <si>
    <t>Ciudad:CALI  Dir:   CRA. 39 # 39 - 76</t>
  </si>
  <si>
    <t>D090315242</t>
  </si>
  <si>
    <t>El cliente solicito 20 libras de clavo acero estriado vertical de 1', se facturo correctamente y le enviaron 20 libras de acero concreto de 1', solicitan el cambio del producto sin NC.</t>
  </si>
  <si>
    <t>ferroelectricosvargas@hotmail.com</t>
  </si>
  <si>
    <t>DEPOSITO JC GARAVITO S.A.S</t>
  </si>
  <si>
    <t>Ciudad:VILLETA  Dir:   TRANS  7 # 1-80 CARLOS LLERAS SECTOR LAS BOMBAS</t>
  </si>
  <si>
    <t>VILLETA</t>
  </si>
  <si>
    <t>R090315447</t>
  </si>
  <si>
    <t>El cliente solicito 2000 Kl de alambre recocido código 33r100142, el pedido fue solicitado el 23 de agosto y despachado el 30 agosto, el cliente se encuentra insatisfecho con el tiempo de entrega, de acuerdo a la ubicación del cliente, cumplimos con el tiempo de entrega, se realiza negociación desde el área comercial para brindar un precio menor y continuar con la entrega, factura 282760 del 30 agosto, favor realizar NC por valor mayor cobrado de $360.000 antes de IVA, con IVA $ 428.400</t>
  </si>
  <si>
    <t>contabilidadjcgaravitosas@gmail.com</t>
  </si>
  <si>
    <t>MERCAPLAS</t>
  </si>
  <si>
    <t>MERCAPLAS S.A.S</t>
  </si>
  <si>
    <t>Ciudad:MEDELLIN  Dir:   CR  51 A   12 B   SUR  61</t>
  </si>
  <si>
    <t>D090317262</t>
  </si>
  <si>
    <t>El cliente devuelve 1 caja de clavo común de 1' con cabeza a 400gr, utilizan gramaje a 500, se presenta error del comercial en la digitación, por favor realizar NC por valor de $139.748, factura 281945 del 14 de agosto.</t>
  </si>
  <si>
    <t>gerencia@mercaplas.com</t>
  </si>
  <si>
    <t>Q090510211</t>
  </si>
  <si>
    <t>El cliente solicito 50 rollos de alambre de púas de la referencia 14.5 x 350, su cliente final informa que salieron de mala calidad, los rollos se estiran con facilidad, tienen empates mal hechos que hacen que los hilos pierdan fuerza y estabilidad, solicitan NC por valor de $379.614 antes de IVA.    Factura 278599 del 22 de Mayo de 2024.</t>
  </si>
  <si>
    <t>33P145350</t>
  </si>
  <si>
    <t>YEPES RENDON CRISTIAN</t>
  </si>
  <si>
    <t>Ciudad:IBAGUE  Dir:   CRA. 2 # 15 - 82  BRR CENTRO</t>
  </si>
  <si>
    <t>R090614285</t>
  </si>
  <si>
    <t>El cliente solicito 15 cajas de clavo común de 1 1/2 a 400gr y recibió 17 cajas ,se ingresa pedido 10401766,  solicito 2 cajas de grapa 1 1/4 x9 a 800gr, no llegaron, por favor realizar NC por valor  de  $266.072 antes de IVA,</t>
  </si>
  <si>
    <t>ferreyepesibague@hotmail.com</t>
  </si>
  <si>
    <t>D090615468</t>
  </si>
  <si>
    <t>El cliente solicito 2 cajas de grapa 1x9 a 1000g, una caja llego averiada, solicitan NC por valor de $171.648 antes de IVA, factura 282561 del 27 de agosto de 2024.</t>
  </si>
  <si>
    <t>Nota crédito realizada el 11 de septiembre</t>
  </si>
  <si>
    <t>COMERCIALIZADORA FERRECONSTRUC</t>
  </si>
  <si>
    <t>VILLEGAS ARANGO JORGE WILLIAM</t>
  </si>
  <si>
    <t>Ciudad:BELLO  Dir:   DIAG 53 43 178</t>
  </si>
  <si>
    <t>D090616343</t>
  </si>
  <si>
    <t>El cliente solicita de forma errada 8 cajas de clavo con cabeza de 1x16 y 4 cajas de clavo común de 1 1/2 x 14 en gramaje de 500, siendo el correcto gramaje de 400, solicita NC por valor de $1.944.236    factura 282906 del 04 de Septiembre</t>
  </si>
  <si>
    <t>contabilidadferreconstruc@gmail.com</t>
  </si>
  <si>
    <t>D090911423</t>
  </si>
  <si>
    <t>El cliente solicito 2 rollos de alambre de púas 14.5 x200 , el comercial ingresa la cantidad  seis rollos, solicitan NC  por valor de $303.464 antes e IVA.    Remisión 2191 del 5 de Sep</t>
  </si>
  <si>
    <t>AGROANDINA DE NARIÃ?O SAS</t>
  </si>
  <si>
    <t>Ciudad:PASTO  Dir:   CR 7 E 17 A 90  BRR PRAGA</t>
  </si>
  <si>
    <t>R091015099</t>
  </si>
  <si>
    <t>El cliente solicito 15 rollos de alambre de púas 12.5x 350,  valor unitario $172.613, solicito 20 rollos de alambre de púas 16.5 x200, valor unitario $50.101  los cuales no fueron entregados, solicita NC por valor de $3.591.215 antes de IVA, se ingresa pedido 10401888 para la reposición.    Factura 282717 del 28 de Sept</t>
  </si>
  <si>
    <t>facturacion.agroandina@gmail.com</t>
  </si>
  <si>
    <t>F091214131</t>
  </si>
  <si>
    <t>Felicitacion</t>
  </si>
  <si>
    <t>Por la atención del funcionario</t>
  </si>
  <si>
    <t>Se realiza contacto con el cliente para obtener su percepción en el producto alambre galvanizado C11, nos confirma que es un excelente producto, a la vez resalta la excelente labor del asesor y el acompañamiento que les brinda, se encuentra satisfecho con su servicio.</t>
  </si>
  <si>
    <t>ALMACEN AGROINSUMOS DEL CAFE</t>
  </si>
  <si>
    <t>LLANOS SANTA DIEGO FERNANDO</t>
  </si>
  <si>
    <t>Ciudad:ABEJORRAL  Dir:   CL   51   51  28</t>
  </si>
  <si>
    <t>ABEJORRAL</t>
  </si>
  <si>
    <t>R091308235</t>
  </si>
  <si>
    <t>El cliente recoge mercancía de la factura 283059  del 09 de Septiembre, firma documento de entrega, posteriormente manifiesta que le hace falta una caja, la cual contiene 20 libras de acero estriado vertical de 2 y otras 20 libras de acero estriado vertical de 2 1/2 , indica que solo le hacen falta 20 libras de acero estriado vertical de 2', solicita reposición de la mercancía.</t>
  </si>
  <si>
    <t>agroinsumosdelcafe@hotmail.com</t>
  </si>
  <si>
    <t>R091310007</t>
  </si>
  <si>
    <t>El cliente reporta un faltante de la referencia 3x9 a 500 gr, cantidad una caja, por favor realizar NC por valor $135.363 antes de iva, se ingresa pedido  10402028 a  nombre de la transportadora TMQ por mercancía extraviada, factura 282458 del 23 de Agosto</t>
  </si>
  <si>
    <t>AGROFERRETERIA Y CONSTRUCTORA MI CASITA SAS</t>
  </si>
  <si>
    <t>Ciudad:BARRANCAS  Dir:   CLL. 14 # 7 A - 21</t>
  </si>
  <si>
    <t>BARRANCAS</t>
  </si>
  <si>
    <t>D091310169</t>
  </si>
  <si>
    <t>El cliente solicito 10 cajas de la referencia grapa 1x9 a 800 gr, el asesor digita erradamente grapa de 1x12, cliente solicita NC por valor de $1.396.880 antes de IVA, factura 279687 del 18 de Junio de 2024.</t>
  </si>
  <si>
    <t>ferreteriamicasita2@gmail.com</t>
  </si>
  <si>
    <t>R091614341</t>
  </si>
  <si>
    <t>El cliente solicito 20 libras de clavo acero liso de 11/2, solo entregaron 15 libras, solicitan NC por valor de $ 21.500 antes de IVA factura 283224 del 12 de Septiembre de 2024</t>
  </si>
  <si>
    <t>DISTRIBUCIONES DE MATERIALES LA ECONOMIA SAS</t>
  </si>
  <si>
    <t>Ciudad:MONTELIBANO  Dir:   CLL. 25 # 5 - 62</t>
  </si>
  <si>
    <t>R091615016</t>
  </si>
  <si>
    <t>El cliente solicito dos cajas de clavo común de 1 x16 a 500gr y le entregaron dos cajas de clavo común de 1 1/2 a 500gr, se solicita NC por valor de $349.370 antes de IVA, factura 283048 del 09 de Septiembre del 2024.</t>
  </si>
  <si>
    <t>sandiperez1105@gmail.com</t>
  </si>
  <si>
    <t>R091615386</t>
  </si>
  <si>
    <t>El cliente solicito 6 cajas de grapa, solo entregaron 5 cajas, reporta faltante de una caja de grapa 1 1/4 x9 800gr, solicita NC por valor de $133.036 antes de IVA, factura 283065 del 09 de sept.</t>
  </si>
  <si>
    <t>FERROAGRO EL CAMPESINO</t>
  </si>
  <si>
    <t>HERNANDEZ RUIZ WILSON DE JESUS</t>
  </si>
  <si>
    <t>Ciudad:VALDIVIA  Dir:   CARRETERA TRONCAL PUERTO VALDIVIA</t>
  </si>
  <si>
    <t>VALDIVIA</t>
  </si>
  <si>
    <t>D091616027</t>
  </si>
  <si>
    <t>El cliente solicito 6 rollos de 14.5x 200 , entregan uno de los rollos en 14.5 x 135, solicito 3 cajas de clavo común  4x6 a 1000gr y entregaron una de las  cajas en la referencia clavo vareta de 5' se solicita NC por valor de $217.995 , factura 282792 del 30 agosto.</t>
  </si>
  <si>
    <t>ferroaptoval@gmail.com</t>
  </si>
  <si>
    <t>AGROTRILLADORA</t>
  </si>
  <si>
    <t>AGROTRILLADORA S.A.S</t>
  </si>
  <si>
    <t>Ciudad:SANTA ROSA DE OSOS   Dir:   AV 38   28 A 165 SEC LA VARIANTE</t>
  </si>
  <si>
    <t>SANTA ROSA DE OSOS</t>
  </si>
  <si>
    <t>R091711225</t>
  </si>
  <si>
    <t>El cliente solicito 3 cajas de grapa 1 1/4 x9  a 1000gr,solo le entregaron dos cajas, solicita NC por valor de $171.648 antes de IVA, factura 283257 del13  de Septiembre.</t>
  </si>
  <si>
    <t>agrotrilladorasa@hotmail.com</t>
  </si>
  <si>
    <t>R091809241</t>
  </si>
  <si>
    <t>El cliente solicito 24 cajas de clavo común de 3x9 a 500 gr y entregaron 25 cajas, de la cual devuelven una, solicito 5 cajas de clavo común con cabeza de 3 1/2 x 8 a 500gr y solo entregaron 4 cajas (despacho trocado) solicitan NC por valor de $132.643 antes de IVA, factura 283223 del 12 de Septiembre.</t>
  </si>
  <si>
    <t>INSUMOS AGROPECUARIOS AGRO SOL</t>
  </si>
  <si>
    <t>INSUMOS AGROPECUARIOS AGRO SOL S.A.S</t>
  </si>
  <si>
    <t>Ciudad:CHIGORODO  Dir:   CR   98B  96  12 BRR SIMON BOLIVAR</t>
  </si>
  <si>
    <t>R091810093</t>
  </si>
  <si>
    <t>El cliente solicito 430 postes y manifiesta, llegaron 428, reporta faltante de dos postes, solicita NC por valor de $34.200 antes de IVA, factura 283097 del 10 de Septiembre.</t>
  </si>
  <si>
    <t>je.b.u@hotmail.com</t>
  </si>
  <si>
    <t>Q091915409</t>
  </si>
  <si>
    <t>Mercancía no se identifica (tiquete-certificado-código de barras)</t>
  </si>
  <si>
    <t>El cliente solicito 6 rollos de alambre de púas 14.5 x500 los cuales llevaban los códigos de barras del alambre de púas 14.5x200, el cliente realiza la venta de un rollos 14.5x 500 con precio del alambre 14.5 200, solicita la reposición del mismo por tratarse de un error interno</t>
  </si>
  <si>
    <t>D092312092</t>
  </si>
  <si>
    <t>El cliente solicita la devolución del dinero correspondiente a la factura 282643 del 28 de agosto, indica que el tornillo 8 x 3/8 ugr , sus hilos son muy mal definidos, no desea realizar más pedidos de esta referencia.</t>
  </si>
  <si>
    <t>Tornillo Lámina 8 X 3/8 UGR</t>
  </si>
  <si>
    <t>Se va a fabricar muestra con alambre 3.20 mm</t>
  </si>
  <si>
    <t>GOMEZ CADAVID ANDRES FERNANDO</t>
  </si>
  <si>
    <t>Ciudad:REMEDIOS  Dir:   CR 10 # 5-828 CRT CARRETERA YONDO MONTEAGRO</t>
  </si>
  <si>
    <t>REMEDIOS</t>
  </si>
  <si>
    <t>P092314298</t>
  </si>
  <si>
    <t>El cliente se encuentra inconforme con el material de las cajas plegadizas las cuales se están desbaratado al momento de desempacar y exhibir la mercancía.</t>
  </si>
  <si>
    <t>amonteagro@hotmail.com</t>
  </si>
  <si>
    <t>DEPOSITO PRINCIPAL SERVIFER S.A.S</t>
  </si>
  <si>
    <t>Ciudad:REMEDIOS  Dir:   CLL. 10 # 7 - 18 CL PPAL CORR LA CRUZADA</t>
  </si>
  <si>
    <t>P092314312</t>
  </si>
  <si>
    <t>El cliente esta insatisfecho con los empaques de nuestras referencias, tanto de clavos como de grapa, ya que se están desarmando al momento de colocarlas en estantería.</t>
  </si>
  <si>
    <t>servifersas@gmail.com</t>
  </si>
  <si>
    <t>Q092315013</t>
  </si>
  <si>
    <t>El cliente manifiesta que un rollo de alambre de púas de 14.5 x 500, se encuentra con añadiduras, con partes muy gruesas,  y con distancias muy grandes. factura 283507 del 18 de septiembre, requiere NC por valor de $ 162.360 antes de IVA.</t>
  </si>
  <si>
    <t>33P145500</t>
  </si>
  <si>
    <t>WILCHES OLAYA BAYRON AUGUSTO</t>
  </si>
  <si>
    <t>Ciudad:LA DORADA  Dir:   CLL. 16 # 4 - 28</t>
  </si>
  <si>
    <t>R092315129</t>
  </si>
  <si>
    <t>El cliente manifiesta que el precio del alambre de púas se encuentra en la factura por un valor superior, el precio en lista es de 101.853 antes de IVA y le fue otorgado un descuento del 2%, el precio correcto corresponde a $99.815 antes de IVA, y se facturo por rollo valor de $116.620, el cliente solicita NC por valor mayor cobrado de $252.075 antes de IVA, el asesor manifiesta error en los precios por parte del sistema.</t>
  </si>
  <si>
    <t>augustowlches@hotmail.com</t>
  </si>
  <si>
    <t>R092315205</t>
  </si>
  <si>
    <t>El cliente reporta un faltante de un rollo de púas 16.5 x 400, de los 6 rollos solicitados, recibió 5 rollos, manifiesta le hace falta 2 libras de acero concreto de 2 1/2, solicita NC por valor de $104.960 antes de IVA. factura  283507 del 18 de septiembre.</t>
  </si>
  <si>
    <t>P092315543</t>
  </si>
  <si>
    <t>El cliente solicita mejorar el empaque de nuestros productos en las referencias de clavo común y aceros, ya que su cliente final las rechaza por la baja calidad, el cliente no desea realizar más compras hasta que se solucione esta falencia.</t>
  </si>
  <si>
    <t>COMERCIALIZADORA LOS ALBAÃ?ILES S.A.S</t>
  </si>
  <si>
    <t>Ciudad:YARUMAL  Dir:   CR    20    21   31</t>
  </si>
  <si>
    <t>Q092411127</t>
  </si>
  <si>
    <t>El cliente expresa su inconformidad, ya que recibió la referencia de grapa 11/4 x9, en caja máster de otras referencias, lo cual ocasiono que al descargar la mercancía genera confusión del producto,  expresa  que las cajas plegadizas se reventaron, el cliente no fue informado sobre el cambio de este empaque, de momento no solicita reposición de las cajas; sin embargo, deja su observación.</t>
  </si>
  <si>
    <t>facturacionalbaniles@hotmail.com</t>
  </si>
  <si>
    <t>3GRE09GGK</t>
  </si>
  <si>
    <t>Se calculó el costo de reempacar las 441 cajas en inventario asumiendo el daño de todos los cartones y 4 días de empaque. Total: $1025912</t>
  </si>
  <si>
    <t>EL GIGANTE DE LA CONSTRUCCION G.B.</t>
  </si>
  <si>
    <t>EL GIGANTE DE LA CONSTRUCCION G.B. S.A.S.</t>
  </si>
  <si>
    <t>Ciudad:ARMENIA  Dir:   CRA. 21 # 20 - 08  P 1</t>
  </si>
  <si>
    <t>Q092514488</t>
  </si>
  <si>
    <t>El cliente solicito 8 cajas de clavo común de 2 1/2 y entregaron 9 cajas, solicito 10 cajas de clavo común de 2 a 400gr y llegaron 9 cajas, despacho trocado, el cliente deja la observación, sin embargo no desea realizar NC, queda con la mercancía conforme la recibió.</t>
  </si>
  <si>
    <t>elgigantedelaconstrucciongb@hotmail.com</t>
  </si>
  <si>
    <t>DEPOSITO Y FERRETERIA LA PRIMERA AMALFI</t>
  </si>
  <si>
    <t>AGUDELO MONTOYA ANA MARIA</t>
  </si>
  <si>
    <t>Ciudad:AMALFI  Dir:   CRA. 22 # 19 - 61</t>
  </si>
  <si>
    <t>R092515012</t>
  </si>
  <si>
    <t>El cliente solicito una caja de grapa 1x9 a 800gr la cual no recibió, reporta faltante; solicita NC por valor de $146.672 antes de IVA, se ingresa pedido 10402536  a nombre de Expreso Cisneros,factura 282220 del 20 de agosto.</t>
  </si>
  <si>
    <t>depositolaprimera1@gmail.com</t>
  </si>
  <si>
    <t>AVILA WAGNER S.A.S</t>
  </si>
  <si>
    <t>Ciudad:PASTO  Dir:   CL 17   10  93  BRR FATIMA</t>
  </si>
  <si>
    <t>D092515218</t>
  </si>
  <si>
    <t>El cliente solicito 10 cajas de grapa 1 1/4 x 9 a 800gr, devuelven dos cajas ya que llego averiada solicita NC por valor de $258.090 antes de IVA, factura 283396 del 16 de Septiembre.</t>
  </si>
  <si>
    <t>facturacion@avilawagner.com</t>
  </si>
  <si>
    <t>MALLAS ANTIOQUIA</t>
  </si>
  <si>
    <t>MALLAS METALICAS ANTIOQUIA S.A.S</t>
  </si>
  <si>
    <t>Ciudad:MEDELLIN  Dir:   CL  30 A   57  20</t>
  </si>
  <si>
    <t>Q093008276</t>
  </si>
  <si>
    <t>El cliente realiza compra de la referencia alambre galvanizado C11, facturas 283724, 283667, 283435, 283486, 283485 correspondientes al mes de septiembre, informa que el alambre está saliendo muy enredado, acerado, en el  devanador se ahorca  y esto le genera improductividad en el proceso, se solicitan fotos de los tiquetes.</t>
  </si>
  <si>
    <t>dir.admon@mallasantioquia.co</t>
  </si>
  <si>
    <t>Pendiente preguntarle a León si hubo más reportes. Desde ingeniería se acordó fraccionar el 1.65, el 3.00 y el 1.80</t>
  </si>
  <si>
    <t>TORNIVAL DC SAS</t>
  </si>
  <si>
    <t>Ciudad:BOGOTA  Dir:   CLL. 60 SUR # 68 B - 39 Apto TO 2 APTO 805</t>
  </si>
  <si>
    <t>Q093009171</t>
  </si>
  <si>
    <t>El cliente solicito 40 millares del tornillo estufa 1/4 x 1/2 xgr y solo recibió 35 millares y una caja del tornillo 3/16 x 1 WT, el cual corresponde al cliente Ramos Urrego Flora Lucia, la transportadora Rápido Ochoa entrega trocado. factura 283617 del 20 de septiembre</t>
  </si>
  <si>
    <t>tornivaldc@gmail.com</t>
  </si>
  <si>
    <t>COMERCIALIZADORA LA 56</t>
  </si>
  <si>
    <t>RAMOS URREGO FLORA LUCIA</t>
  </si>
  <si>
    <t>Ciudad:BOGOTA  Dir:   CLL. 2 B # 56 - 09 BRR GALAN</t>
  </si>
  <si>
    <t>Q093009306</t>
  </si>
  <si>
    <t>El cliente solicito la referencia tornillo 3/16 x 1  estufa redondo tropicalizado  10 millares y le llego la referencia tornillo estantería 1/4 x 1/2, se identifica que se troco con el pedido del cliente Tornival, entrega la transportadora Rápido Ochoa, factura 283618 del 20 de Septiembre</t>
  </si>
  <si>
    <t>luciar1362@gmail.com</t>
  </si>
  <si>
    <t>TORNIRED</t>
  </si>
  <si>
    <t>TORNIRED SAS</t>
  </si>
  <si>
    <t>Ciudad:BOGOTA  Dir:   CRA. 80 # 57 G - 65 SUR  BRR CLASS ROMA</t>
  </si>
  <si>
    <t>R093009596</t>
  </si>
  <si>
    <t>El cliente solicito 3 millares de tornillo 1/4 x  1 1/4 zgr y le llego el tornillo 1/4 x 1 1/4 wgr(redondo) solicita NC por valor de $186.156 antes de IVA. factura 283502 del 18 de septiembre, favor recoger mercancía.</t>
  </si>
  <si>
    <t>contacto@tornired.com</t>
  </si>
  <si>
    <t>R093011289</t>
  </si>
  <si>
    <t>El cliente solicito 10 cajas de clavo común de 2 x12, entregaron 11 cajas, solicito 10 cajas de clavo común de 2 1/2 y entregaron 9 cajas, solicito 5 cajas de clavo común de 3x9 entregaron 7 cajas, del clavo con cabeza de 3 1/2 solicito 5 cajas y llegaron tres, se ingresa pedido 10402656 por la mercancía sobrante, se requiere NC por valor de $318.372 antes de IVA por los tres faltantes. factura 283744 del 24 de septiembre.</t>
  </si>
  <si>
    <t>P093015103</t>
  </si>
  <si>
    <t>El cliente solicita DVR2 (anulación ) de la factura 283618 del 20 de Septiembre, por cambio de razón social a nombre de Comercializadora la 56 S.A.S. NIT 901794844-4, se ingresa pedido 10402678 facturar y no despachar.</t>
  </si>
  <si>
    <t>R100312458</t>
  </si>
  <si>
    <t>El cliente solicito 500 kl de galvanizado C 16 y llegaron 450 kilos, solicito 500 kilos de alambre galvanizado C 14 y llegaron 550 kilos, adicionalmente reporta que un rollo de alambre galvanizado C 12 llego por 40 kilos, faltan 10 kilos, se solicita NC por valor de $364.500 antes de IVA, se ingresa pedido 10402847 por sobrante de 50 kilos del galvanizado C 14, factura 266970 del 25 de Agosto.</t>
  </si>
  <si>
    <t>FERRETERIA TERESITA CIRO</t>
  </si>
  <si>
    <t>AYALA CIRO JOHN JAIRO</t>
  </si>
  <si>
    <t>Ciudad:SANTA BARBARA  Dir:   CL SALGAR 48 57</t>
  </si>
  <si>
    <t>SANTA BARBARA</t>
  </si>
  <si>
    <t>D100314182</t>
  </si>
  <si>
    <t>El cliente realiza la devolución de dos cajas de clavo común de 1 1/4 a 500gr, manifiesta no fueron solicitadas, se valida información con la comercial, favor realizar NC por valor de $330.888 antes de IVA, factura 283554 del 19 de septiembre</t>
  </si>
  <si>
    <t>najmerfab@hotmail.com</t>
  </si>
  <si>
    <t>TUVALTEC S.A.S.</t>
  </si>
  <si>
    <t>Ciudad:CARTAGENA  Dir:   TRAN 49 21 96 BRR EL BOSQUE</t>
  </si>
  <si>
    <t>R100314455</t>
  </si>
  <si>
    <t>PQR corresponde a sistemas, el pedido subió doble, el cliente devuelve mercancía por valor de $1.260.279 IVA incluido, por favor recoger, la  factura 283321 del 14 de Septiembre, por favor realizar NC a la factura 283464 del 18 de septiembre por su valor total , $1.212.134  la cual corresponde a 200 libras de estriado vertical de 11/2, se ingresa pedido 10402852 para envió de 100 libras de estriado vertical.</t>
  </si>
  <si>
    <t>gerencia@tuvaltec.com.co</t>
  </si>
  <si>
    <t>P100317078</t>
  </si>
  <si>
    <t>El cliente solicito la mercancía con compromiso de entrega al 30 de Septiembre, la entrega se realizo en el mes de octubre, solicita DVR2 correspondiente a la factura 283820 del 25 de Septiembre, sé ingresa pedido 10402861  favor facturar y no despachar.</t>
  </si>
  <si>
    <t>ELECTRICOS DEL RUIZ S.A.S</t>
  </si>
  <si>
    <t>Ciudad:BARRANQUILLA  Dir:   AV CIRCUNVALAR CL 100 6 335 MZ C BG 7 8</t>
  </si>
  <si>
    <t>P100715105</t>
  </si>
  <si>
    <t>El cliente solicita cambio de la  factura 283818 del 25 de Septiembre, ya que la mercancía debió llegar antes del 30 de Septiembre y fue recibida en el mes de octubre, se ingresa pedido 10402960</t>
  </si>
  <si>
    <t>comprasfe@karluz.com</t>
  </si>
  <si>
    <t>CADENAS DEL VALLE</t>
  </si>
  <si>
    <t>CADENAS DEL VALLE S.A.S</t>
  </si>
  <si>
    <t>Ciudad:CARTAGO  Dir:   CR 11 # 8-53  P 1</t>
  </si>
  <si>
    <t>CARTAGO</t>
  </si>
  <si>
    <t>D100715188</t>
  </si>
  <si>
    <t>El cliente solicito 250 kilos del alambre galvanizado C12, solicita cambiarlos por galvanizado C13 ya que fue un error en el pedido inicialmente realizado, el cliente debe hacer llegar la mercancía a nuestras instalaciones para revisar sus condiciones. factura 284159 del 03 de Octubre de 2024_x000D_\</t>
  </si>
  <si>
    <t>gerencia@cadenasdelvalle.com</t>
  </si>
  <si>
    <t>CADENAS Y COMPLEMENTOS S.A.S</t>
  </si>
  <si>
    <t>Ciudad:MEDELLIN  Dir:   CL 45   60  57</t>
  </si>
  <si>
    <t>D100715274</t>
  </si>
  <si>
    <t>El cliente solicito 250 kilos del alambre galvanizado C12, solicita cambiarlos por galvanizado C13 ya que fue un error en el pedido inicialmente realizado, el cliente debe hacer llegar la mercancía a nuestras instalaciones para revisar sus condiciones. factura 284159 del 03 de Octubre de 2024</t>
  </si>
  <si>
    <t>gerencia@cadenasycomplementos.com</t>
  </si>
  <si>
    <t>R100716008</t>
  </si>
  <si>
    <t>El cliente solicito una tonelada de alambre recocido, precio por kilo 3864 más IVA, y se ingreso el valor de $4.100 antes de IVA, favor realizar NC por valor mayor cobrado, diferencia en precio 236.000 antes de IVA, factura 283999 del 30 de Septiembre.</t>
  </si>
  <si>
    <t>FERROCCIDENTE</t>
  </si>
  <si>
    <t>FERROCCIDENTE QV SAS</t>
  </si>
  <si>
    <t>Ciudad:SAN JERONIMO  Dir:   CLL. 27 # 10 A 87</t>
  </si>
  <si>
    <t>SAN JERONIMO</t>
  </si>
  <si>
    <t>R100910255</t>
  </si>
  <si>
    <t>El cliente solicito 2 cajas de clavo común de 2\</t>
  </si>
  <si>
    <t>solicito una caja de clavo común  de 11/2 a 400gr y no llego</t>
  </si>
  <si>
    <t>se ingresa pedido 10403046 Cobrando la caja adicional</t>
  </si>
  <si>
    <t>se solicita NC por valor de $115.968 antes de IVA correspondiente al clavo de 11/2</t>
  </si>
  <si>
    <t>factura 283936 del 27 de Septiembre."</t>
  </si>
  <si>
    <t>AGROCAUCA INSUMOS AGROPECUARIOS SAS</t>
  </si>
  <si>
    <t>Ciudad:CAUCASIA  Dir:   CLL 36  TV  16  36  00 BRR EL PALMAR</t>
  </si>
  <si>
    <t>R100910523</t>
  </si>
  <si>
    <t>El cliente solicito 55 cajas de clavo común con cabeza de 3x9 a 400 gr, solo recibió 54 cajas, solicita NC por valor $105.041 antes de IVA, factura 284057 del 30 de Septiembre.</t>
  </si>
  <si>
    <t>comprasagrocauca@gmail.com</t>
  </si>
  <si>
    <t>D100914118</t>
  </si>
  <si>
    <t>El cliente  solicita devolver un rollo de alambre galvanizado C 15 por 50 kl,  el alambre se enreda, factura 283904 del 27 de Septiembre, por favor recoger y realizar NC por valor de $287.500 antes de IVA.</t>
  </si>
  <si>
    <t>ALAMBRE GALVANIZADO CALIBRE 15 (1.80 mm)</t>
  </si>
  <si>
    <t>Abierto</t>
  </si>
  <si>
    <t>12/10/24 Se solicita a logística recolección del material.
Se envió rollo de prueba devanado a mano (50 Kg) y presentó enredo nuevamente. Se solicitó a SAC agendar visita para validar funcionamiento del material.
El cliente solicitó envío de 500 Kg para validar funcionamiento.</t>
  </si>
  <si>
    <t>TORNIMUNDO HERRAMIENTAS</t>
  </si>
  <si>
    <t>PEREZ BALLESTEROS GERMAN</t>
  </si>
  <si>
    <t>Ciudad:BOGOTA  Dir:   AV CRA 80  58 L 04 SUR</t>
  </si>
  <si>
    <t>Q100915055</t>
  </si>
  <si>
    <t>El cliente expresa su inconformidad ya que entregaron el pedido con las cajas averiadas, factura 283757 del 24 de Septiembre, se valida y la transportadora a cargo de la entrega es Transcomercol.</t>
  </si>
  <si>
    <t>(1)7784055</t>
  </si>
  <si>
    <t>tornimundopg@outlook.com</t>
  </si>
  <si>
    <t>Q100916503</t>
  </si>
  <si>
    <t>Condiciones comerciales no iguales a las pactadas</t>
  </si>
  <si>
    <t>El cliente solicito 450 kl de galvanizado C18, de los cuales un rollo llego con peso de 23.4, reporta faltante de 11.6 kl, se solicita NC por valor de $74.400 antes de IVA, factura 283085 del 10 de septiembre de 2024.</t>
  </si>
  <si>
    <t>D101014358</t>
  </si>
  <si>
    <t>El cliente realiza la devolución de 3 caja de grapa 1 1/4 x9  800gr, ya que se encuentran mojadas , solicita NC por valor de $395.118 antes de IVA, factura 284136 del 02 de Octubre, por favor revisar el proceso de entrega ya que es la segunda reclamación de este tipo.</t>
  </si>
  <si>
    <t>FERRETERIA LA UNIVERSAL</t>
  </si>
  <si>
    <t>HECTOR FELICIANO JIMENEZ &amp; COMPAÃ?ÃA LIMITADA</t>
  </si>
  <si>
    <t>Ciudad:SAN ANDRES DE TUMACO  Dir:   CL DEL COMERCIO 9 48</t>
  </si>
  <si>
    <t>D101108503</t>
  </si>
  <si>
    <t>El cliente solicito 25 cajas de clavo común de 2 1/2 x 400 gr, devuelven 4 cajas que recibieron mojadas y oxidadas, se solicita NC por valor de $424.496 antes de IVA, se ingresa pedido 10403143 con cobro a la transportadora Transcomercol.</t>
  </si>
  <si>
    <t>launiversalfacturas@yahoo.com</t>
  </si>
  <si>
    <t>DISTRIBUCIONES DIAZ RAMOS S.A.S</t>
  </si>
  <si>
    <t>Ciudad:MALAMBO  Dir:   CL 7 # 18-23</t>
  </si>
  <si>
    <t>MALAMBO</t>
  </si>
  <si>
    <t>R101109229</t>
  </si>
  <si>
    <t>El cliente solicito 3000 de alambre recocido, solo le entregaron 2975 kl, se solicita NC por valor de $93.000 antes de IVA, factura 283874 del 26 de Septiembre.</t>
  </si>
  <si>
    <t>servicioalcliente@diazramos.co</t>
  </si>
  <si>
    <t>EL CAPRI FERRETERIA Y DEPOSITO ZOMAC S.A.S</t>
  </si>
  <si>
    <t>Ciudad:CHIGORODO  Dir:   CRA. 100 # 97 - 02  AV PRINCIPAL</t>
  </si>
  <si>
    <t>D101109521</t>
  </si>
  <si>
    <t>SISTEMAS, el comercial registra el pedido 10402613 el cual fue despachado, sin embargo subió doble, segundo pedido 10402641, ocasionando la devolución de la mercancía. factura 284169 del 03 de Octubre, se solicita NC por valor de $3.736.428 IVA incluido.</t>
  </si>
  <si>
    <t>ferreteriaelcapri@hotmail.com</t>
  </si>
  <si>
    <t>Q101112273</t>
  </si>
  <si>
    <t>El cliente se encuentra inconforme ya que recibió 25 cajas de grapa, en un empaque que no corresponde al original, inicialmente reporto faltante de una plegadiza por cada caja recibida. Factura 283786 del 24 de septiembre</t>
  </si>
  <si>
    <t>GRAPA 1 1/4 X 9 1000 gr</t>
  </si>
  <si>
    <t>Queda pendiente que desde comercial se establezca el protocolo para reposición de material de empaque</t>
  </si>
  <si>
    <t>BOGOTANA DE TORNILLOS</t>
  </si>
  <si>
    <t>SANCHEZ PARRA ALIRIO</t>
  </si>
  <si>
    <t>Ciudad:BOGOTA  Dir:   CLL 17 # 109-02</t>
  </si>
  <si>
    <t>Q101612076</t>
  </si>
  <si>
    <t>El cliente solicita la referencia de tornillería 5/32 de las cuales presenta dificultades, envía video donde indica que la tuerca pasa derecha, las referencias solicitadas son 5/32 x 1 1/2 wgr 3tef52wgr, 5/32 x 1 wgr código 3ted52wgr factura 283274 del 13 de septiembre, y el 5/32 X 1 1/4 wgr código 3tee52wgr factura 283369 del 16 de Septiembre. no reporta devolución.</t>
  </si>
  <si>
    <t>facturacion@bogotanadetornillos.com</t>
  </si>
  <si>
    <t>TORNILLO ESTUFA 5/32 x 1 1/4 WGR
TORNILLO ESTUFA 5/32 X 1 WGR
TORNILLO ESTUFA 5/32 x 1 1/2 WGR</t>
  </si>
  <si>
    <t xml:space="preserve">3TEE52WGR
3TED52WGR 
3TEF52WGR </t>
  </si>
  <si>
    <t>Se solicitó a compras adquirir tornillo y tuerca de seguridad a la espera de la llegada. Se programa respuesta para el 6-11</t>
  </si>
  <si>
    <t>D101614464</t>
  </si>
  <si>
    <t>El cliente solicito el tornillo 1/4 x 1/2 XG código 3TE755XGR, Factura # 284295 del 07 de Octubre de 2024, indica que no es posible manejarlo ya que tiene cuello, solicita saber la causa y reponer los mismos.</t>
  </si>
  <si>
    <t>5/11 se envía correo consultando si llegó la devolución para evaluar conformidad con la tuerca.
Se enviaron los 30 millares de reposición y funcionaron bien.</t>
  </si>
  <si>
    <t>P&amp;U FERRETERIA SAN FERNANDO S.A.S.</t>
  </si>
  <si>
    <t>Ciudad:APARTADO  Dir:   CLL. 100 # 82 D  - 10-14-16</t>
  </si>
  <si>
    <t>D101810425</t>
  </si>
  <si>
    <t>El cliente manifiesta no solicito 15 libras de clavo acero liso de 1, solicita NC por valor de $80.682 IVA incluido,  el comercial realiza el traslado de mercancía al cliente ORGANIZACION FERKATIO S.A.S. 900488078 pedido 10403377, factura 283939 del 27 de septiembre.</t>
  </si>
  <si>
    <t>ferrola100@hotmail.com</t>
  </si>
  <si>
    <t>ENGYCOL GROUP S.A.S.</t>
  </si>
  <si>
    <t>Ciudad:VALLE DEL GUAMUEZ (LA HORMIGA)  Dir:   CRA. 7 CLL. 5 106</t>
  </si>
  <si>
    <t>VALLE DEL GUAMUEZ (LA HORMIGA)</t>
  </si>
  <si>
    <t>D101810521</t>
  </si>
  <si>
    <t>El cliente solicito 200 libras de acero estriado vertical de 4 correpondiente a la factura 282443 23 de Agosto, el conductor no la entrego, posteriormente se acerco a entregarla en el mes de octubre, sin factura, la caja estaba averiada y mojada, el cliente devolvió, solicita NC por valor de 1.101.226 IVA incluido, se ingresa pedido de cobro a transcomercol  pedido 10403379 .</t>
  </si>
  <si>
    <t>engycol@gmail.com</t>
  </si>
  <si>
    <t>R102209552</t>
  </si>
  <si>
    <t>El cliente solicito 3 cajas de clavo común de 3 x9 a 400 gr, solo entregaron dos cajas, se solicita NC por valor de $111.430, se ingresa pedido 10403495 con cobro a transcomercol. factura 284120 del 02 de Octubre.</t>
  </si>
  <si>
    <t>FERRETERIA DEL SUR</t>
  </si>
  <si>
    <t>MUNOZ MENDOZA MAYERLINE</t>
  </si>
  <si>
    <t>Ciudad:CHAPARRAL  Dir:   CLL. 7 # 8 - 11  BRR CENTRO</t>
  </si>
  <si>
    <t>R102210019</t>
  </si>
  <si>
    <t>El cliente solicito una caja de clavo común 4x6 de 800 gr, la cual no fue entregada, solicita NC por valor de $111.430 antes de IVA, se ingresa pedido 10403496 a transcomercol, factura 284131 del 02 de Octubre.</t>
  </si>
  <si>
    <t>wilsongalindo0011@yahoo.es</t>
  </si>
  <si>
    <t>COMERCIALIZADORA LOS ALBANILES S.A.S</t>
  </si>
  <si>
    <t>Q102216003</t>
  </si>
  <si>
    <t>El cliente expresa su inconformidad indica le entregaron el pedido con la factura 284234 del 04 de Octubre, averiado (cajas master rasgadas), el cliente adecua cintas para sellar el producto.</t>
  </si>
  <si>
    <t>Q102216364</t>
  </si>
  <si>
    <t>El cliente expresa su inconformidad, recibió 8 cajas de grapa 1x9 a 1000 gr, en empaques  de clavo común, expresa el producto queda mal distribuido, factura 284234 del 04 de Octubre de 2024._x000D_\</t>
  </si>
  <si>
    <t>GRAPA 1 X 9 1000 gr</t>
  </si>
  <si>
    <t>3GRD09GGK</t>
  </si>
  <si>
    <t>MATERIALES LA CORDIALIDAD SAS</t>
  </si>
  <si>
    <t>Ciudad:BARRANQUILLA  Dir:   CLL. 7 # 16 - 151</t>
  </si>
  <si>
    <t>D102217111</t>
  </si>
  <si>
    <t>El cliente solicito la devolución de una caja de  CLAVO COMUN 1 1/2 ×500, la  fue solicitada por error, requiere NC por valor de $147.919 antes de IVA, comercial realiza el traslado al cliente Ferretodo El Ingeniero S.A.S, se ingresa pedido 10403548. factura 282724 del 29 de agosto.</t>
  </si>
  <si>
    <t>olrueda68@hotmail.com</t>
  </si>
  <si>
    <t>G102308441</t>
  </si>
  <si>
    <t>Producto defectuoso</t>
  </si>
  <si>
    <t>El cliente solicito 300 kl de alambre galvanizado C18, dos rollos de 25 kl se encuentra oxidados, cliente solicita NC por valor de $300.700 antes de IVA, factura 283600 del 20 de septiembre, por favor recoger.</t>
  </si>
  <si>
    <t>M SIERRA FERRETEROS SAS</t>
  </si>
  <si>
    <t>Ciudad:BOGOTA  Dir:   CLL. 37 B SUR 72 L 64</t>
  </si>
  <si>
    <t>R102314329</t>
  </si>
  <si>
    <t>El cliente solicito 3500 kl de  alambre recocido 33r100142, manifiesta le hicieron falta dos rollos, solicita NC por valor de $ 177.500 antes de IVA, equivalente a 50 kilos, factura 284797 del 19 de Octubre de 2024.</t>
  </si>
  <si>
    <t>gerencia@msierraferreteros.com</t>
  </si>
  <si>
    <t>FERRETERIA LA REINA</t>
  </si>
  <si>
    <t>PEFER GRUPO COMERCIAL S.A.S</t>
  </si>
  <si>
    <t>Ciudad:POPAYAN  Dir:   CL 5 # 15-82 BRR LA ESMERALDA</t>
  </si>
  <si>
    <t>D102314409</t>
  </si>
  <si>
    <t>El cliente realiza devolución, solicito de 10 rollos de alambre de púas 12.5x350 y le entregaron púa de 12.5x400, solicita NC por valor de $1.743.900 antes de IVA, factura 284523 del 11 de Octubre.</t>
  </si>
  <si>
    <t>contabilidadpefersas@gmail.com</t>
  </si>
  <si>
    <t>NACIONAL DE TORNILLOS N. 2</t>
  </si>
  <si>
    <t>BARRADA ALVAREZ FERNANDO ANTONIO</t>
  </si>
  <si>
    <t>Ciudad:MONTERIA  Dir:   CL 28 A 3111 BRR CANTA CLARO PRINCIPAL</t>
  </si>
  <si>
    <t>D102314462</t>
  </si>
  <si>
    <t>El cliente manifiesta no haber solicitado la referencia de 11 millares de tornillería 8x1/2 ugr, realiza devolución, solicita NC por valor de $235.620 antes de IVA.</t>
  </si>
  <si>
    <t>nacionaldetornillosyherramientas@hotmail.com</t>
  </si>
  <si>
    <t>EL PALACIO DE LA CONSTRUCCION SAS</t>
  </si>
  <si>
    <t>Ciudad:BOGOTA  Dir:   CRA. 29 C # 28 - 45 SUR</t>
  </si>
  <si>
    <t>D102315321</t>
  </si>
  <si>
    <t>El cliente solicito 15 cajas de clavo común de  11/2 x 500 gr, posteriormente las devuelve aduciendo que fue un error, realmente necesitaba clavo común de 2 1/2, se solicita NC por valor de $2.070.870 antes de IVA, una de las cajas llego en malas condiciones, se ingresa pedido 10403635 para cobro a logística Integral, factura 283794 del 25 de Septiembre</t>
  </si>
  <si>
    <t>compras@elpalaciodelaconstruccion.com</t>
  </si>
  <si>
    <t>HIERROS Y LAMINAS OSCAR USEDA</t>
  </si>
  <si>
    <t>USEDA RUEDA OSCAR</t>
  </si>
  <si>
    <t>Ciudad:SOCORRO  Dir:   CRA. 13 7 32</t>
  </si>
  <si>
    <t>SOCORRO</t>
  </si>
  <si>
    <t>Q102410475</t>
  </si>
  <si>
    <t>El cliente manifiesta  haber recibido dos toneladas de alambre recocido 'mojadas', pertenecientes a la factura 283702 del 23 de Septiembre de 2024</t>
  </si>
  <si>
    <t>hierroshgsocorro@gmail.com</t>
  </si>
  <si>
    <t>D102414415</t>
  </si>
  <si>
    <t>El alambre brillante 5.16-5.18 mm C6, presenta no conformidad (principios de oxido), solicitan reposición de 4.696 kl, FACTURA 284795 del 18 de Octubre.</t>
  </si>
  <si>
    <t>Producción Trefilación</t>
  </si>
  <si>
    <t>ALAMBRE BRILLANTE 5.16-5.18 mm CALIBRE 6</t>
  </si>
  <si>
    <t>33B100516</t>
  </si>
  <si>
    <t>Se envío informe por parte de producción para dar cierre. Se comenzó la entrega de devanadores pintados a logística para su gestión.</t>
  </si>
  <si>
    <t>PERALTA PERFILERIA S.A.S</t>
  </si>
  <si>
    <t>Ciudad:BOGOTA  Dir:   CLL. 13  # 68B 40</t>
  </si>
  <si>
    <t>Q102511252</t>
  </si>
  <si>
    <t>El cliente expresa su inconformidad, manifiesta que el alambre se le está oxidando y le genera problemas el proceso de soldadura, referencia alambre brillante 3.70 C9 factura 282277 del 21 de agosto, 282352 y 282444.</t>
  </si>
  <si>
    <t>gerencia@peraltaperfileria.com</t>
  </si>
  <si>
    <t>ALAMBRE BRILLANTE 3.70-3.74 mm CALIBRE 9</t>
  </si>
  <si>
    <t>33B100370</t>
  </si>
  <si>
    <t>Sí</t>
  </si>
  <si>
    <t xml:space="preserve">Reunión 6 de noviembre con Andrés Bohorquez
Factura 44 pedir a lucia
</t>
  </si>
  <si>
    <t>MUNERA CASTRILLON JULIO ALEXANDER</t>
  </si>
  <si>
    <t>Ciudad:MEDELLIN  Dir:   CR 53  13A SUR 84 IN 210 BRR GUAYABAL</t>
  </si>
  <si>
    <t>D102811257</t>
  </si>
  <si>
    <t>El cliente solicito 100 kl de alambre recocido 4.09-4.11 C8, manifiesta se encuentra 'sucio ' de color negro, solicita NC por valor de 532.800 antes de IVA, se ingresa pedido 10403817 para reposición, factura 284998 del 24 de Octubre.</t>
  </si>
  <si>
    <t>jamc1980@outlook.com</t>
  </si>
  <si>
    <t>ALAMBRE RECOCIDO 4.09-4.11 mm CALIBRE 8</t>
  </si>
  <si>
    <t>33R100409</t>
  </si>
  <si>
    <t>Ya llegó la devolución</t>
  </si>
  <si>
    <t>FERRETERIA LA CEJA S.A.S.</t>
  </si>
  <si>
    <t>Ciudad:LA CEJA  Dir:   CRA. 17 # 20 - 27</t>
  </si>
  <si>
    <t>D102811585</t>
  </si>
  <si>
    <t>El cliente se encuentra inconforme,  nos indica que el alambre galvanizado C16,  llego reventado en tramos y cuando lo pesa,  para venderlo por kilos, salen varias puntas y se le dificulta la manipulación, solicita NC por valor de $205.800, devolverá 35 kilos ,factura 280571 10 de Julio.</t>
  </si>
  <si>
    <t>jorge.arrubla1987@gmail.com</t>
  </si>
  <si>
    <t>ALAMBRE GALVANIZADO CALIBRE 16 (1.65 mm) 25 kg</t>
  </si>
  <si>
    <t>33G130165V</t>
  </si>
  <si>
    <t>El cliente se consumió el alambre, en las fotos y videos adjuntos. Como no se pudo analizar la situación, se da cierre</t>
  </si>
  <si>
    <t>Jairo Castellanos</t>
  </si>
  <si>
    <t>Q102815197</t>
  </si>
  <si>
    <t>Prueba mercancía averiada</t>
  </si>
  <si>
    <t>Bex Tramites</t>
  </si>
  <si>
    <t>HERNANDO GRISALES SERNA</t>
  </si>
  <si>
    <t>R102815243</t>
  </si>
  <si>
    <t>Prueba de faltante</t>
  </si>
  <si>
    <t>ALMACEN FERRETODO</t>
  </si>
  <si>
    <t>HERRERA OBANDO JOSE EGLANTINE</t>
  </si>
  <si>
    <t>Ciudad:TULUA  Dir:   CRA. 18 A  # 27 - 25</t>
  </si>
  <si>
    <t>TULUA</t>
  </si>
  <si>
    <t>D102915079</t>
  </si>
  <si>
    <t>El asesor ingresa por error 50 libras de acero liso, las cuales no solicita el cliente, requieren NC por valor de $205.000 antes de IVA, por favor recoger, factura 283978 del 28 de Septiembre.</t>
  </si>
  <si>
    <t>almacenferretodo@hotmail.com</t>
  </si>
  <si>
    <t>FERREYA</t>
  </si>
  <si>
    <t>ECHEVERRY CORREA GLORIA ISABEL</t>
  </si>
  <si>
    <t>Ciudad:PEREIRA.  Dir:   CR 9   8  27</t>
  </si>
  <si>
    <t>PEREIRA.</t>
  </si>
  <si>
    <t>D102915232</t>
  </si>
  <si>
    <t>El comercial ingresa por error una caja de clavo común sin cabeza de 3/4 x500, solicita NC por valor de $ 197.143 antes de IVA, factura 284674 del 17 de Octubre. favor recoger.</t>
  </si>
  <si>
    <t>ferreyapereira@hotmail.com</t>
  </si>
  <si>
    <t>SERVICIOS FERRETEROS C.D SAS</t>
  </si>
  <si>
    <t>Ciudad:GIRARDOT  Dir:   CLL. 19 # 14 - 53</t>
  </si>
  <si>
    <t>R103008556</t>
  </si>
  <si>
    <t>El cliente solicito  10 cajas de clavo común de 3' a 400 gr, reporta faltante de tres cajas plegadizas, factura 284129 del 02 de Octubre, se requiere NC por valor de $6.367</t>
  </si>
  <si>
    <t>serviciosferreteros.cd@gmail.com</t>
  </si>
  <si>
    <t>CLAVO COMUN CON CABEZA 3 x 9 400 gr</t>
  </si>
  <si>
    <t>3CCL097NV</t>
  </si>
  <si>
    <t>Sin responder</t>
  </si>
  <si>
    <t>No se hará informe, sólo carta. Se redirecciona para nota crédito. No se hará carta, se hará nota crédito y Lucia contactará telefónicamente.</t>
  </si>
  <si>
    <t>R &amp; C TEQUENDAMA S.A.S</t>
  </si>
  <si>
    <t>Ciudad:GIRARDOT  Dir:   CR 8   23   32</t>
  </si>
  <si>
    <t>D103009516</t>
  </si>
  <si>
    <t>El cliente solicito 40 rollos de alambre de púas 12.5 x350, devuelven un rollo, confirman que al  extenderlo  se corre las  púas , factura 284927 del 23 de Octubre. Favor realizar NC  por valor de $174.390 antes de iva</t>
  </si>
  <si>
    <t>cementostequendama315@gmail.com</t>
  </si>
  <si>
    <t>ALAMBRE DE PUAS CALIBRE 12.5 x 350 mts</t>
  </si>
  <si>
    <t>33P125350</t>
  </si>
  <si>
    <t>Alambre sin púas</t>
  </si>
  <si>
    <t>No va a devolver, nota crédito</t>
  </si>
  <si>
    <t>Federico Toro Restrepo</t>
  </si>
  <si>
    <t>D103010418</t>
  </si>
  <si>
    <t>se prueba en el formulario de obtencion de datos. los campos de  cod_vendedor: nombre: nro: factura. (este debe cambiarse a codigo en la prueba.)</t>
  </si>
  <si>
    <t>FEDERICO TORO</t>
  </si>
  <si>
    <t>ESTRADA GRACIANO JUAN FERNANDO</t>
  </si>
  <si>
    <t>Ciudad:MEDELLIN  Dir:   CRA 50 46 70 BRR CENTRO</t>
  </si>
  <si>
    <t>D103011343</t>
  </si>
  <si>
    <t>El cliente solicito 404 kl de alambre recocido 3.75 C9, devuelve 300 kilos ya que llego 'sucio', factura 285032 del 25 de Octubre de 2024. favor realizar NC por valor de $1.598.400 antes de IVA.</t>
  </si>
  <si>
    <t>susherrajes@grupogiraldo.com.co</t>
  </si>
  <si>
    <t>ALAMBRE RECOCIDO 3.75-3.77 mm CALIBRE 9</t>
  </si>
  <si>
    <t>33R100375</t>
  </si>
  <si>
    <t>Juan mesa
Ya llegó la devolución</t>
  </si>
  <si>
    <t>D103113566</t>
  </si>
  <si>
    <t>El cliente solicito 50 libras de acero liso de 2, de las cuales 22 libras son acero liso de 1', el cliente requiere realizar el cambio. factura 282977 del 05 de Septiembre de 2024, se solicitan fotos de la master.</t>
  </si>
  <si>
    <t>CLAVO DE ACERO LISO 2 X 3.00</t>
  </si>
  <si>
    <t>3CAH301PL</t>
  </si>
  <si>
    <t>Averiguar código 90 del 16 de agosto: Liliana Saldarriaga
Llamar al cliente para validar si destapó la plegadiza y es un error de etiqueta. Se contactó al cliente y las plegadizas están marcadas como 1X3 y contienen 1X3</t>
  </si>
  <si>
    <t>CONSTRUALUMINIOS</t>
  </si>
  <si>
    <t>LOPEZ BAENA JOHN JAIRO</t>
  </si>
  <si>
    <t>Ciudad:ITAGUI  Dir:   CLL. 46 CR 50 20</t>
  </si>
  <si>
    <t>Q110111136</t>
  </si>
  <si>
    <t>El cliente solicito 50 kl de Alambre brillante calibre 17, e rollo tiene las siguientes características, enredado, torcido y con empates, factura 285139 del 29 de Octubre de 2024, de momento no  confirma la devolución, solo envía una foto, se realiza contacto en reiteras ocasiones sin respuesta, se requiere la foto del tiquete.</t>
  </si>
  <si>
    <t>construaluminiosjairo@hotmail.com</t>
  </si>
  <si>
    <t>ALAMBRE BRILLANTE 1.36-1.38 mm CALIBRE 17</t>
  </si>
  <si>
    <t>33B100136</t>
  </si>
  <si>
    <t>Q110111425</t>
  </si>
  <si>
    <t>El cliente solicito 500 kilos de alambre brillante calibre 3 en 6.35, unos rollos se encuentran golpeados y maltratados, este alambre es utilizado para fabricar unas varillas pequeñas y unos ejes, lo cual ocasiona en su producto final, una mala apariencia, el cliente no devuelve el material.  factura 285221 del 30 de Octubre.</t>
  </si>
  <si>
    <t>ALAMBRE BRILLANTE 6.35-6.37 mm CALIBRE 3</t>
  </si>
  <si>
    <t>33B100635</t>
  </si>
  <si>
    <t>No se hará informe, sólo carta. Es la primera vez que se quejan por este defecto. Pendiente retroalimentación del personal.</t>
  </si>
  <si>
    <t>Q110115407</t>
  </si>
  <si>
    <t>El cliente solicitó 83 kl de alambre especial 1.98 C14, manifiesta que la apariencia de esta última entrega, es de color negro y no, gris como suele ser. Factura 285304 del 31 de octubre, no devuelve mercancía.</t>
  </si>
  <si>
    <t>ALAMBRE ESPECIAL 1.98-2.00 mm CALIBRE 14</t>
  </si>
  <si>
    <t>33X100200</t>
  </si>
  <si>
    <t>Juan mesa</t>
  </si>
  <si>
    <t>R110117009</t>
  </si>
  <si>
    <t>El cliente realiza reclamo por la diferencia en precios correspondiente a 52 cajas, siendo el valor correcto por unidad 106.124 y no 108.290 como figura en la presente factura, favor realizar NC por valor de $134.032 IVA incluido, diferencia 2.166x52= 112.632+19%=134.032, factura 283022 del 09 de septiembre de 2024.</t>
  </si>
  <si>
    <t>Q110516376</t>
  </si>
  <si>
    <t>El cliente manifiesta tener dificultades con la referencia alambre brillante calibre 17(llego muy blando y no se deja trabajar), factura 284255 del 04 de octubre de 2024.</t>
  </si>
  <si>
    <t>ALAMBRE BRILLANTE 1.42-1.45 mm CALIBRE 17</t>
  </si>
  <si>
    <t>33B100142</t>
  </si>
  <si>
    <t>20/11//24</t>
  </si>
  <si>
    <t>El 29 de octubre se realizó visita al cliente por parte de Juan Carlos Mesa, Carlos Andrés Bohórquez y Valentina Villa. Se llevó muestra de alambre 33B100142 fabricado a partir de 1008 y reportaron buen funcionamiento. El alambre reportado en la queja cumple con las especificaciones acordadas en la primera visita. Quedamos pendientes de la retroalimentación del funcionamiento del último despacho en 1008.</t>
  </si>
  <si>
    <t>D110608577</t>
  </si>
  <si>
    <t>El cliente solicita la referencia errada y devuelve sin autorización, 10 millares de la referencia 6 x 3/4 zgr, favor realizar NC por valor de $166.500 antes de IVA, factura 282150 del 16 de agosto.</t>
  </si>
  <si>
    <t>PRODUCTOS IMPERMEABILIZANTES</t>
  </si>
  <si>
    <t>PRODUCTOS IMPERMEABILIZANTES S.A.S</t>
  </si>
  <si>
    <t>Ciudad:ITAGUI  Dir:   CR  41 A   46  39  AUT SUR</t>
  </si>
  <si>
    <t>D110612145</t>
  </si>
  <si>
    <t>El cliente solicito de forma errada la referencia clavo común con cabeza de 4 x16 a 1000 gr, se solicita NC por valor de $278.578 antes de IVA, factura 285143 del 29 de octubre.</t>
  </si>
  <si>
    <t>distribucion@proim.com.co</t>
  </si>
  <si>
    <t>D110613499</t>
  </si>
  <si>
    <t>El cliente solicito 500 kl de alambre galvanizado C 10 en rollos de 50kl,  el cliente recibe rollos de 100 kl, no hay observaciones en el pedido, favor realizar NC por valor de 2.475.000 antes de IVA, factura 285372 del 31 de Octubre.</t>
  </si>
  <si>
    <t>FERRETERIA SAN IGNACIO</t>
  </si>
  <si>
    <t>ANDRADE GONZALEZ LEIDY CATERINE</t>
  </si>
  <si>
    <t>Ciudad:NEIVA  Dir:   CRA. 1 H # 6 - 30</t>
  </si>
  <si>
    <t>R110613549</t>
  </si>
  <si>
    <t>El cliente solicito 1 rollo de alambre de púas 12.5 x400, el cual no fue entregado, el cliente solicita NC por valor de $208.579 antes de IVA, factura 284926</t>
  </si>
  <si>
    <t>sanignacioferreteria01@gmail.com</t>
  </si>
  <si>
    <t>N/A</t>
  </si>
  <si>
    <t>Yolanda Rodriguez</t>
  </si>
  <si>
    <t>R110616283</t>
  </si>
  <si>
    <t>El cliente solicita 40 cajas de grapa1 x12 en gramaje de 800, se le envían 22 cajas en gramaje de 800 y 18 cajas en gramaje de 1000, el cliente no devuelve la mercancía, se solicita NC por valor de $2.394.648, se ingresa pedido  10404139 por 18 cajas de grapa 1x12 gr 1000, factura 285250 del 30 de octubre</t>
  </si>
  <si>
    <t>D110709459</t>
  </si>
  <si>
    <t>El cliente solicito 9 cajas de clavo en las referencias 2, 2 1/2, 3, el comercial ingresa erradamente gramaje de 500, siendo el correcto gramaje de 400, solicitan NC por valor de $1.253.601 antes de  IVA , factura 284651 del 16 de Octubre  de 2024.</t>
  </si>
  <si>
    <t>Q110811178</t>
  </si>
  <si>
    <t>El cliente solicito 5.096 kl de la referencia 10.5 (3.10 mm), describe lo siguiente: el alambre lllego  descalibrado, con diferencia en el diámetro,  se enreda y bloquea el paso del alambre, genera desperdicios y retraso en la producción, no devuelve, factura 284901 del 22 de Octubre de 2024.</t>
  </si>
  <si>
    <t>ALAMBRE GALVANIZADO CALIBRE 10.5 (3.10 mm)</t>
  </si>
  <si>
    <t>33G110310</t>
  </si>
  <si>
    <t>Diámetro fuera de especificación</t>
  </si>
  <si>
    <t>COMERCIAL MERKAFER S.A.S</t>
  </si>
  <si>
    <t>Ciudad:DABEIBA  Dir:   CRA. URIBE URIBE # 11 - 52</t>
  </si>
  <si>
    <t>DABEIBA</t>
  </si>
  <si>
    <t>P110811491</t>
  </si>
  <si>
    <t>El cliente pór motivos de retraso en la entrega de mercancía, solicita el cambio de la factura 285370 del 31 de Octubre, el pedido fue entregado el día de hoy 08 de Noviembre.</t>
  </si>
  <si>
    <t>merkafer.felectronica@hotmail.com</t>
  </si>
  <si>
    <t>P110812158</t>
  </si>
  <si>
    <t>El cliente solicita se respeten los precios de una cotización, la cual fue realizada antes del alza general.</t>
  </si>
  <si>
    <t>Q111216073</t>
  </si>
  <si>
    <t>El cliente expresa su inconformidad sobre el empaque final de producto, específicamente el clavo vareta de 3 pulgadas, el cual es demasiado frágil y muchas de las cajas se han dañado, factura 285262 del 30 de octubre.</t>
  </si>
  <si>
    <t>CLAVO VARETA 3 X 1/4 1000 gr GALVANIZADO ELECTROLITICO</t>
  </si>
  <si>
    <t>3CCL558GK</t>
  </si>
  <si>
    <t>Lucía debe consultar con el asesor para reponer las plegadizas</t>
  </si>
  <si>
    <t>SUPERMERCADO LIBERTAD S.A.S.</t>
  </si>
  <si>
    <t>Ciudad:BUENAVENTURA  Dir:   CL 1 #9-08 CL LA VALENCIA</t>
  </si>
  <si>
    <t>BUENAVENTURA</t>
  </si>
  <si>
    <t>D111316493</t>
  </si>
  <si>
    <t>El cliente realiza la devolución de 8 cajas de clavo común de 2 1/2 a 400 gr, ya que llegaron mojadas y en mal estado, cliente solicita NC por valor de $ 894.408 antes de IVA, factura 285668 del 08 de Noviembre.</t>
  </si>
  <si>
    <t>secretaria@superlibertad.com</t>
  </si>
  <si>
    <t>DOLLYS DISTRIBUCIONES S.A.S</t>
  </si>
  <si>
    <t>Ciudad:QUIBDO  Dir:   CR  3   24 A   00</t>
  </si>
  <si>
    <t>D111417187</t>
  </si>
  <si>
    <t>EL cliente solicito 4 cajas de clavo de 21/2 a 500 gr, devuelve una caja ya que llego averiada, se solicita NC por valor de $146.253 antes de IVA, se ingresa pedido con cobro a la transportadora TMQ pedido 10404411, factura 284992 del 24 de Octubre.</t>
  </si>
  <si>
    <t>dollysdistribuciones@hotmail.com</t>
  </si>
  <si>
    <t>sergio Botero</t>
  </si>
  <si>
    <t>CASA ANDINA</t>
  </si>
  <si>
    <t>ELMER SCHNEIDER CASA ANDINA S.A.S</t>
  </si>
  <si>
    <t>Ciudad:PASTO  Dir:   CLL 18 # 19-35 CENTRO</t>
  </si>
  <si>
    <t>R111417293</t>
  </si>
  <si>
    <t>El cliente solicito 150 libras de acero estriado vertical de 2, reporta faltante de 50 libras factura 284704 del 17 de Octubre, favor realizar NC por valor de $226.500 antes de IVA, se ingresa pedido 10404414  con cobro a la transportadora Trancomercol</t>
  </si>
  <si>
    <t>contabilidad@casaandina.com.co</t>
  </si>
  <si>
    <t>R111417339</t>
  </si>
  <si>
    <t>El cliente solicito 50 kl de alambre galvanizado C 14 y enviaron galvanizaron C10, el cliente solicita NC por valor de $256.000 antes de IVA, factura 284413 del 09 de Octubre (devuelve mercancía)</t>
  </si>
  <si>
    <t>DISTRIBUIDORA ALIANZA FERRETERA S.A.S</t>
  </si>
  <si>
    <t>Ciudad:IBAGUE  Dir:   CR 1 # 18 -60 BRR ESTACION</t>
  </si>
  <si>
    <t>Q111514091</t>
  </si>
  <si>
    <t>El cliente expresa su inconformidad con relación a la entrega de mercancía, ya que recibe el material averiado, para reparar las cajas el cliente utiliza cinta aislante , el comercial retroalimenta al cliente referente a dejar sus observaciones en la factura de entrega, y no recibir el material si este viene en mal estado. factura 285621 del 08 de Noviembre de 2024.</t>
  </si>
  <si>
    <t>distrialianzaferreteria@gmail.com</t>
  </si>
  <si>
    <t>Yo</t>
  </si>
  <si>
    <t>ALMACEN EL GRAN LIBERTADOR</t>
  </si>
  <si>
    <t>CABALLERO RODRIGUEZ NOHORA</t>
  </si>
  <si>
    <t>Ciudad:CHAPARRAL  Dir:   CRA. 10 # 5 - 50 BRR LIBERTADOR</t>
  </si>
  <si>
    <t>Q111514503</t>
  </si>
  <si>
    <t>El cliente expresa recibió mal trato del conductor, el cual llego sin auxiliar, solicito ayuda del personal del cliente para bajar la mercancía, el cual  no contaba con personal, el  conductor se 'enoja' indica que no es su empleado, el cliente no recibe mercancía,  el conductor se va y regresan dos personas diferentes a concretar la entrega de mercancía, factura 285614 del 08 de Noviembre de 2024.</t>
  </si>
  <si>
    <t>elgranlibertador10@gmail.com</t>
  </si>
  <si>
    <t>R111914365</t>
  </si>
  <si>
    <t>El cliente solicita 6 rollos de alambre de púas 12.5x350 mt, llegan 7 rollos . Se ingresa pedido 10404587 para el cobro, cliente requiere NC por valor de $213.011 antes de IVA correspondiente a faltante de un rollo de púas 12.5x 400,factura 285745 del 12 de Noviembre de 2024.</t>
  </si>
  <si>
    <t>R111916245</t>
  </si>
  <si>
    <t>El cliente solicita 6 cajas de clavo común de 2 1/2 a 500 gr, reporta faltante de una caja, el conductor manifiesta que se encontraba desbaratada, cliente solicita NC por valor de $ 157.222 antes de IVA, factura 285609 del 07 de Noviembre.</t>
  </si>
  <si>
    <t>D112010133</t>
  </si>
  <si>
    <t>Mercancía no se identifica(tiquete, certificado, código de barras)</t>
  </si>
  <si>
    <t>El cliente solicito 1 caja de clavo común sin cabeza 2x14 a 500gr, la cual no contaba con el código de barras para su registro en el ingreso de mercancía, el cliente solicita NC por valor de $142.600 antes de IVA, factura 285681 del 08 de Noviembre de 2024.</t>
  </si>
  <si>
    <t>CLAVO COMÚN SIN CABEZA 2 x 14 500g</t>
  </si>
  <si>
    <t>3CCH146NK</t>
  </si>
  <si>
    <t>DEPOSITO DE JHON GOMEZ</t>
  </si>
  <si>
    <t>GOMEZ ZULUAGA JHON EUCARIO</t>
  </si>
  <si>
    <t>Ciudad:SAHAGUN  Dir:   CLL. 16 # 8 - 60</t>
  </si>
  <si>
    <t>SAHAGUN</t>
  </si>
  <si>
    <t>D112016382</t>
  </si>
  <si>
    <t>El cliente solicito pedido con la factura 285899 del 15 de Noviembre, se realiza envío y no recibe la mercancía, solicita NC por valor de $3.592.507 IVA incluido , el asesor solicita realizar traslado al cliente Hoyos Severiche Carlos Alberto  con NIT 1069480886, se ingresa pedido 10404655  favor enviar a la dirección CRA 5 calle 13 esquina barrio San Pedro Sahagún Córdoba Tel 3002001660.</t>
  </si>
  <si>
    <t>depositojhongomez@gmail.com</t>
  </si>
  <si>
    <t>FERREANDINA S.A.S. ZOMAC</t>
  </si>
  <si>
    <t>Ciudad:IPIALES  Dir:   CRA. 5 # 21 - 80  BRR SAN VICENTE</t>
  </si>
  <si>
    <t>R112017001</t>
  </si>
  <si>
    <t>El cliente solicito una tonelada de alambre recocido 33r100142 , reporta faltante de 100 kl, solicita NC por valor de $400.000 antes de IVA, factura 285067 del 25 de Octubre</t>
  </si>
  <si>
    <t>ferreandina2@hotmail.com</t>
  </si>
  <si>
    <t>FERRETERIA LA GRAN 25</t>
  </si>
  <si>
    <t>ROPERO LUIS  ALFONSO</t>
  </si>
  <si>
    <t>ROPERO LUIS ALFONSO</t>
  </si>
  <si>
    <t>Ciudad:OCANA  Dir:   CLL. 8 # 16 B -  02 BRR LA ROTINA</t>
  </si>
  <si>
    <t>OCAaƒâ€˜A</t>
  </si>
  <si>
    <t>D112017157</t>
  </si>
  <si>
    <t>El cliente realiza devolución de 1 caja de clavo de zinc 2x12, el comercial no aclara que la presentación del producto es en bolsas, más no en cajas plegadizas, solicita NC por valor de $150.903 antes de IVA, devuelve la mercancía con el transportista, factura 285860 del 14 de Noviembre de 2024.</t>
  </si>
  <si>
    <t>viarza@gmail.com</t>
  </si>
  <si>
    <t>CONTINENTAL DE RACORES Y TUERCAS S.A.S.</t>
  </si>
  <si>
    <t>Ciudad:BOGOTA  Dir:   CLL. 8 A  # 82 - 22 P 1</t>
  </si>
  <si>
    <t>D112208454</t>
  </si>
  <si>
    <t>El cliente solicito 5 millares de tornillo estufa 1/4 x 1 1/2 wgr, la caja esta marcada con doble sticker, uno de la referencia solicitada, y el segundo sticker con la referencia 1/4 x 1 1/2 cabeza plana, solicita recoger la mercancía, realmente recibió el tornillo  1/4 x 1 1/2 zgr cabeza plana, favor realizar NC por valor de $374.805 antes de IVA. se ingresa pedido 10404715 para nuevo envió</t>
  </si>
  <si>
    <t>continentalderacoresytuercas.fe@gmail.com</t>
  </si>
  <si>
    <t>TORNILLO ESTUFA 1/4 x 1/2 WGR</t>
  </si>
  <si>
    <t>3TEF55WGR</t>
  </si>
  <si>
    <t>Desde el 22 de noviembre se reasignó a Logística para recolección del NC y reposición, pero a la fecha de carta respuesta no se ha realizado</t>
  </si>
  <si>
    <t>D112212208</t>
  </si>
  <si>
    <t>El cliente  realizo pedido y el comercial ingresa erradamente las referencias, solicita NC por valor de $6.864.239 IVA incluido, factura 286194 del 22 de Noviembre, se ingresa pedido 10404732.</t>
  </si>
  <si>
    <t>AGROTRILLADORA LA PLAZA</t>
  </si>
  <si>
    <t>AGROTRILLADORA LA PLAZA ZOMAC S.AS.</t>
  </si>
  <si>
    <t>Ciudad:TURBO  Dir:   CRA. 14 # 105 - 09 SEC DOBLE CALZADA</t>
  </si>
  <si>
    <t>R112214079</t>
  </si>
  <si>
    <t>El cliente reporta faltante de un rollo de alambre de púas 16.5x200, se requiere NC por valor de $57.258 antes de IVA, factura 285403 del 01 de Noviembre.</t>
  </si>
  <si>
    <t>agrotrilladoralaplaza@gmail.com</t>
  </si>
  <si>
    <t>R112214312</t>
  </si>
  <si>
    <t>El cliente reporta un faltante de 25 kl de alambre galvanizado C14, solicitan NC por valor de $137.600 antes de IVA, factura  286144 del 21 de Noviembre</t>
  </si>
  <si>
    <t>Juan Carlos Garzon</t>
  </si>
  <si>
    <t>ALMACEN CANAIMA</t>
  </si>
  <si>
    <t>SALAZAR OSPINA JOHN JAIRO</t>
  </si>
  <si>
    <t>Ciudad:ARMENIA  Dir:   CL 17  20  21</t>
  </si>
  <si>
    <t>R112514286</t>
  </si>
  <si>
    <t>El cliente reporta faltante de 25 libras de acero concreto de 1', solicita NC por valor de $115.575 antes de IVA, factura 286155 del 21 de Noviembre.</t>
  </si>
  <si>
    <t>contabilidad@almacencanaima.com</t>
  </si>
  <si>
    <t>D112515097</t>
  </si>
  <si>
    <t>El cliente solicita el cambio de 11 rollos de alambre brillante 3.70 C9, el cliente expresa:  al momento de pasarlos a corte están saliendo rayados esto debido a que estas unidades llegaron muy brillantes como si fueran acerados. factura 285806 del 14 de Noviembre de 2024.</t>
  </si>
  <si>
    <t>Lubricante</t>
  </si>
  <si>
    <t>FRONTIMAS</t>
  </si>
  <si>
    <t>MORENO MEDINA BEATRIZ HELENA</t>
  </si>
  <si>
    <t>Ciudad:FRONTINO  Dir:   CR   31   30   38</t>
  </si>
  <si>
    <t>Q112715078</t>
  </si>
  <si>
    <t>El cliente expresa su inconformidad con los tiempos de entrega, la señora Beatriz Helena toma la decisión de realizar compras del material a un costo más alto, con la intención de no incumplirle a sus clientes finales. Pedido 10404583 del 19 de Noviembre, factura 286335 del día 27 de Noviembre.</t>
  </si>
  <si>
    <t>fercho3541@hotmail.com</t>
  </si>
  <si>
    <t>R112810342</t>
  </si>
  <si>
    <t>El cliente solicito 10 millares del  tornillo 5/32 x 3/4 WGR los cuales no fueron entregaron, recibió   una caja de tornillos de 1/4 x 11/2 WG, esta caja pertenece al  cliente Continental de Racores y Tuercas NIT: 901209598, por favor enviar nuevamente la mercancía,</t>
  </si>
  <si>
    <t>R112814246</t>
  </si>
  <si>
    <t>El cliente reporta un faltante de 25 kl de alambre recocido, solicita NC por valor de $112.500 antes de IVA, factura 285644 del 08 de Noviembre.</t>
  </si>
  <si>
    <t>Q112814424</t>
  </si>
  <si>
    <t>El cliente interpone pqrs, expresa lo siguiente: Buenas  tardes   Yulieth me dirijo a ti muy respetuosamente con el fin de mejorar nuestros lazos comerciales.  hace un año tuvimos una visita de parte de ustedes con gerencia comercial en la cual le pedimos un apoyo con la mercancía que teníamos represada por rotación , aclarando que nos habían quedado unas zonas vacantes, pero nunca tuvimos el apoyo de parte de tu empresa, sin embargo ante la insistencia que has tenido y que nos hemos quedado solo con tu marca hoy me veo muy afectado con tus despachos, estoy descuidando mis zonas por no tener los productos. La última orden de compra se realizó el día 8 de noviembre y hasta el día 20 de noviembre recibí la factura más no el pedido , creo que realmente así es muy difícil hacer un número o mantener un número ante esos reprocesos.    Quedo atento a tus comentarios,    pedido ingresado el 08 de noviembre, con factura 286065 del 20 de noviembre</t>
  </si>
  <si>
    <t>R112909324</t>
  </si>
  <si>
    <t>El cliente reporta un faltante de 25 libras de acero  concreto de 2, solicita NC por valor de $115.575 antes de IVA factura 286156 del 21 de Noviembre</t>
  </si>
  <si>
    <t>FERRETERIA MUNDIAL</t>
  </si>
  <si>
    <t>QUINTERO BUENO CRISTOBAL</t>
  </si>
  <si>
    <t>Ciudad:SANTA MARTA  Dir:   CL  11  12 A  27 ESQ SEC MERCADO</t>
  </si>
  <si>
    <t>D112909556</t>
  </si>
  <si>
    <t>El cliente realiza la devolución del material ya que su bodega sufrió daños en la estructura, solicita NC por valor de $9.350.111 iva incluido, factura 285858 del 14 de Noviembre.</t>
  </si>
  <si>
    <t>ferremundialsantamarta@hotmail.com</t>
  </si>
  <si>
    <t>FERRETERIA EL SURTIDOR</t>
  </si>
  <si>
    <t>CASTIBLANCO RUSSI JAIME ARTURO</t>
  </si>
  <si>
    <t>Ciudad:CHIQUINQUIRA  Dir:    CR 10 #8-46</t>
  </si>
  <si>
    <t>CHIQUINQUIRA</t>
  </si>
  <si>
    <t>BOYACA</t>
  </si>
  <si>
    <t>D120314336</t>
  </si>
  <si>
    <t>El cliente realiza devolución de la mercancía, manifiesta que el precio inicial no fue el pactado, el área comercial revisa y la negociación se realizo con las condiciones correctas, solicita NC por valor de $16.568.342 iva incluido, factura 286842 del 29 de Nov, se traslada mercancía al cliente FERRETERIA NUEVO MILENIO S.A.S, se ingresa pedido   10405157.</t>
  </si>
  <si>
    <t>ferreteria.elsurtidor@hotmail.com</t>
  </si>
  <si>
    <t>P120409178</t>
  </si>
  <si>
    <t>El cliente solicita  las siguientes plegadizas de clavo común a 500 gr de : 2=4, 1=4,4=4,5=2 , en gramaje de 400 de 21/2-4, 4=3,5=2.total de plegadizas 23.</t>
  </si>
  <si>
    <t>R120410375</t>
  </si>
  <si>
    <t>El cliente solicito 125kl de alambre galvanizado C16, y entregaron 150 kl se ingresa pedido 10405235, solicito 100 kilos de alambre galvanizado C 14 y entregaron 75 kilos, solicita NC por valor de $144.325 antes de iva, factura 286314 del   27 de noviembre.</t>
  </si>
  <si>
    <t>SURTIZORA S.A.S</t>
  </si>
  <si>
    <t>SURTIZORA SOCIEDAD POR ACCIONES SIMPLIFICADA</t>
  </si>
  <si>
    <t>Ciudad:QUIBDO  Dir:   CR 4  30 14  BRR CRISTO REY</t>
  </si>
  <si>
    <t>R120414571</t>
  </si>
  <si>
    <t>El cliente solicito 100 cajas de clavo común de 21/2 a 500 gr de las cuales 10 cajas las entregaron sin cabeza, favor realizar NC por valor de $1.326.560 antes de IVA, y facturar el pedido 10405260, fact 285038 del 25 de Octubre.</t>
  </si>
  <si>
    <t>compras@surtizora.com</t>
  </si>
  <si>
    <t>D120415114</t>
  </si>
  <si>
    <t>El cliente solicita sea recibida una caja de clavo vareta de 4'x14 galvanizado electrolítico, manifiesta no pudo venderla, el comercial la ingresa a nuestras instalaciones, se solicita NC por valor de $194.097 antes de IVA. factura 284437 ddel 09 de Octubre.</t>
  </si>
  <si>
    <t>D120608109</t>
  </si>
  <si>
    <t>El cliente realiza devolución de una caja de clavo común con cabeza de 1x16, por llegar averiada, solicita NC por valor de $184.030 antes de iva.</t>
  </si>
  <si>
    <t>MISCELANEA LA BODEGA DE SOLEDAD S.A.S</t>
  </si>
  <si>
    <t>Ciudad:SOLEDAD  Dir:   CRA. 14 # 51 - 35</t>
  </si>
  <si>
    <t>D120608211</t>
  </si>
  <si>
    <t>El cliente reporta faltante de dos cajas de clavo común de 21/2 a 500g, y una caja de 1x6 a 500g, solicita NC  por valor de $492.704 antes de IVA, factura 286062 del 20 de noviembre.</t>
  </si>
  <si>
    <t>factronicalabodega@gmail.com</t>
  </si>
  <si>
    <t>D120609086</t>
  </si>
  <si>
    <t>El cliente realiza devolución de las siguientes referencias  de clavo común  en gramaje de 500 por mal estado: 2 cajas de clavo común sin cabeza de 3/4 x18 , una caja  11/2 x14, 5 cajas de 3x9, 1 caja de 31/2, 2 cajas de 4x6,total 11 cajas, solicitan NC por valor de $1.673.704 antes de iva, factura 286052 del 20 de Noviembre</t>
  </si>
  <si>
    <t>D120609327</t>
  </si>
  <si>
    <t>El cliente solicita de manera errada la referencia clavo concreto de 1', realiza devolución solicita NC por valor de $242.950 antes de iva, se ingresa pedido 10405351 con cobro a la empresa expreso cisneros, factura 285153 del 29 de Octubre.</t>
  </si>
  <si>
    <t>ferreteriadelagro1@gmail.com</t>
  </si>
  <si>
    <t>FERROELECTRICOS LA GANGA S.A.S.</t>
  </si>
  <si>
    <t>Ciudad:CALI  Dir:   CR 8 # 19 - 24</t>
  </si>
  <si>
    <t>R120612331</t>
  </si>
  <si>
    <t>El cliente solicito pedido ,la comercial lo ingresa a nombre de la razón social Ferroeléctricos la Ganga S.A.S, el pedido se debe registrar a nombre de la segunda razón social  DE FERROELECTRICOS MEDELLIN S.A.S NIT 805023030, solicitan dvr1  correspondiente a la factura 286589 del 03 de Diciembre, por valor de $12.262.274 iva incluido, se ingresa pedido 10405374 a nombre de ERROELECTRICOS MEDELLIN S.A.S .</t>
  </si>
  <si>
    <t>facturaselectronicas@ferrolaganga.com</t>
  </si>
  <si>
    <t>R121009241</t>
  </si>
  <si>
    <t>El cliente solicito 5 cajas de clavo común de 2x14 a 500gr, se ingresa valor sin descuento, solicitan NC por MVC, valor correcto 139.750, favor realizar NC por valor de $14.275 más IVA, factura 286783 del 06 de Diciembre de 2024.</t>
  </si>
  <si>
    <t>R121209116</t>
  </si>
  <si>
    <t>El  cliente abre una caja de clavo común 3/4 con cabeza a 500 gr , hay un  faltante de 5 libras, solicita reposición de las mismas, por favor realizar el envió. Factura 285734 del 12 de Noviembre de 2024.</t>
  </si>
  <si>
    <t>CLAVO COMUN CON CABEZA 3/4 x 17 500 gr</t>
  </si>
  <si>
    <t>3CCB177NK</t>
  </si>
  <si>
    <t>7/1/25 Pendiente confirmar si se enviaron 5 libras</t>
  </si>
  <si>
    <t>DISTRIBUCIONES FDK S.A.S.</t>
  </si>
  <si>
    <t>Ciudad:BARRANQUILLA  Dir:   CRA 43 # 82-136</t>
  </si>
  <si>
    <t>D121608596</t>
  </si>
  <si>
    <t>El cliente solicito 300 libras de estriado vertical de 21/2  de las cuales llegaron 150 libras en estriado de 2', solicita NC por valor de $ 730.500 antes de IVA, y se recoja la devolución, factura 286736 del 05 de Diciembre de 2024.</t>
  </si>
  <si>
    <t>distribucionesfdk@gmail.com</t>
  </si>
  <si>
    <t>R121609329</t>
  </si>
  <si>
    <t>El cliente solicito 12 rollos de alambre de púas 14.5 x 200,solo recibió 11 rollos, solicita NC por valor de 76.110 ,factura 286439 del 28 de Noviembre 2024.</t>
  </si>
  <si>
    <t>ALMACEN Y FERRETERIA BELL</t>
  </si>
  <si>
    <t>RESTREPO PIEDRAHITA FABIO HERNAN</t>
  </si>
  <si>
    <t>Ciudad:MAICAO  Dir:   CR 14 10 32</t>
  </si>
  <si>
    <t>MAICAO</t>
  </si>
  <si>
    <t>P121609556</t>
  </si>
  <si>
    <t>El cliente solicita 50 cajas plegadizas de clavo común  de 1' de 500 gr, las cajas fueron entregadas húmedas. se envían al comercial para el proceso de reempaque a la dirección es: Cra 38 # 84-105 apto 201 torre 1 conjunto residencial oasis de campo alegre Barrio Campo Alegre  Barranquilla</t>
  </si>
  <si>
    <t>ventas@ferreteriabell.com.co</t>
  </si>
  <si>
    <t>GRUPO FERRETERO PVC TAIRONA SAS</t>
  </si>
  <si>
    <t>Ciudad:GIRARDOT  Dir:   CLL. 21-8 # 50 - 60 BRR SAN ANTONIO</t>
  </si>
  <si>
    <t>D121712012</t>
  </si>
  <si>
    <t>Cliente reporta 3 días después de la entrega, que la caja se encuentra oxidada con 16 libras de clavo de 3' , solicita NC por valor de $38.331 antes de IVA. factura 286112 del 21 de Noviembre de 2024. primera compra del cliente.</t>
  </si>
  <si>
    <t>facturas.pvctairona@gmail.com</t>
  </si>
  <si>
    <t>FERRETERIA Y VARIEDADES MAURO S.A.S</t>
  </si>
  <si>
    <t>Ciudad:CALI  Dir:   CL 19 # 7 - 122</t>
  </si>
  <si>
    <t>D121812069</t>
  </si>
  <si>
    <t>el cliente devuelve 3 cajas clavo común con cabeza 2-1/2x11 400gr, cajas averiadas y con oxidación el producto, valor antes de IVA  $342,249, cliente solicita nota c.  devuelve con transportador, factura 287140,  fecha 14 de dic 2024.</t>
  </si>
  <si>
    <t>variedadesmauro@hotmail.com</t>
  </si>
  <si>
    <t>Transcomercol</t>
  </si>
  <si>
    <t>Gustavo Peña</t>
  </si>
  <si>
    <t>R121910466</t>
  </si>
  <si>
    <t>El cliente solicito 500 kl de alambre galvanizado C 16, reporta un faltante de 50 kl, solicita NC por valor de $294.700 antes de IVA, se ingresa pedido 10405816 con cobro a transportes segovia. Factura 285981 del 18 de noviembre.</t>
  </si>
  <si>
    <t>Janeth Gomez</t>
  </si>
  <si>
    <t>R121914547</t>
  </si>
  <si>
    <t>El cliente solicito 12 rollos de alambre de púas 12.5 x400 mts y enviaron 11rollos, solicita NC por valor de $213.011 antes de IVA, solicito 6 rollos de alambre 12.5 x 350 mts y llegaron 7 rollos, se ingresa pedido 10405836 para el cobro. Factura 285745 del 12 de Noviembre de 2024.</t>
  </si>
  <si>
    <t>Cristian Serna</t>
  </si>
  <si>
    <t>Hugo Ruiz</t>
  </si>
  <si>
    <t>R121915002</t>
  </si>
  <si>
    <t>El cliente solicito 30 rollos de alambre de púas 14.5 x 500, reporta faltante de un rollo, solicita NC por valor de $174.550 antes de iva, factura 287018 del 12 de Diciembre de 2024.</t>
  </si>
  <si>
    <t>Jefferson Ruiz</t>
  </si>
  <si>
    <t>Jefferosn Ruiz</t>
  </si>
  <si>
    <t>FERROAGRO LA AVENIDA</t>
  </si>
  <si>
    <t>INVERSIONES GOMEZ Y GIRALDO S.A.S.</t>
  </si>
  <si>
    <t>Ciudad:TARAZA  Dir:   CRA 31 35 16</t>
  </si>
  <si>
    <t>TARAZA</t>
  </si>
  <si>
    <t>R121915073</t>
  </si>
  <si>
    <t>El cliente reporta faltante de dos libras de clavo común de 2 1/2 a 500 gr, informa que la caja se entrego destapada, solicita NC por valor de $6.288 antes de IVA, se ingresa pedido 10405837 con cobro a la transportadora transporte segovia.Factura 285569 del 07 de Noviembre.</t>
  </si>
  <si>
    <t>facturacionferroagrotaraza@gmail.com</t>
  </si>
  <si>
    <t>D122008538</t>
  </si>
  <si>
    <t>El comercial ingresa erradamente cuatro cajas de clavo común sin cabeza de 21/2a 400gr, solicita NC por valor de $479.148 antes de IVA, factura 287135 del 14 de Diciembre.</t>
  </si>
  <si>
    <t>TORNICODAZZI S.A.S.</t>
  </si>
  <si>
    <t>Ciudad:BOGOTA  Dir:   CLL. 65 SUR # 77 J  - 60</t>
  </si>
  <si>
    <t>D122016342</t>
  </si>
  <si>
    <t>El cliente solicito dos millares de la referencia 3/16 x 1 1/4 wgr y le entregaron tornillo cabeza plana, solicita NC por valor de $71.070 antes de IVA, se ingresa pedido 10405874 para nuevo envió, factura 287073 del 12 de Diciembre.</t>
  </si>
  <si>
    <t>tornicodazzi@gmail.com</t>
  </si>
  <si>
    <t>D122016443</t>
  </si>
  <si>
    <t>El cliente solicito 26 rollos de alambre de púas 14 x500, el comercial ingresa la referencia 14.5 x500 mt, solicitan NC por valor de $5.832.190 iva incluido, factura 287354 del 19 de Diciembre, favor recoger mercancía.</t>
  </si>
  <si>
    <t>R122312026</t>
  </si>
  <si>
    <t>Asesor digita mal el pedido,   cliente pidió fue grapa y se digito fue alambre de púa  calibre 16.5 x 400mts por valor de $1.444.620.   No de factura 287190- 16/12/224  Se realiza NCMC VALOR TOTAL CON IVA INCLUIDO 1.719.097</t>
  </si>
  <si>
    <t>YOLANDA RODRIGUEZ</t>
  </si>
  <si>
    <t>DEPOSITO DE MATERIALES CRISTIAN</t>
  </si>
  <si>
    <t>VALENCIA BETANCUR BLANCA ROCIO</t>
  </si>
  <si>
    <t>Ciudad:FREDONIA  Dir:   AV AURELIO RAMIREZ</t>
  </si>
  <si>
    <t>FREDONIA</t>
  </si>
  <si>
    <t>D122315038</t>
  </si>
  <si>
    <t>despacho trocado cliente solicito grapa de 1-1/4 x 1000gr  y le llego de 1' x9 1000gr fact 284727 de 18/10/2024, realizar NC X VALOR DE $180.230+IVA</t>
  </si>
  <si>
    <t>gmole56@hotmail.com</t>
  </si>
  <si>
    <t>DAES DISTRIBUCIONES S.A.S</t>
  </si>
  <si>
    <t>Ciudad:QUIBDO  Dir:   CR 3 # 24  60</t>
  </si>
  <si>
    <t>D122712152</t>
  </si>
  <si>
    <t>Devolución de 2 cajas de 3 1/2  a 500gr x mal estado (Humedad por transportadora, SE COBRA MERCANCIA A TMQ) FACTURA 286876 del 9/12/2024 valor NC  $285,210</t>
  </si>
  <si>
    <t>daesdistribuciones@hotmail.com</t>
  </si>
  <si>
    <t>SERGIO BOTERO</t>
  </si>
  <si>
    <t>Arley Rios</t>
  </si>
  <si>
    <t>Mauricio Parra</t>
  </si>
  <si>
    <t>R122713098</t>
  </si>
  <si>
    <t>Faltante de mercancía, falta caja de clavo de 2 1/2 x 11  400 gr, por valor de $114.083 (SE LE COBRA A TRANSPORTADORA ESTRELLA)</t>
  </si>
  <si>
    <t>R122713262</t>
  </si>
  <si>
    <t>Faltante de un rollo de alambre recocido para construcción  x 25 kl  por un valor de $112.500 factura No 286199 ( SE LE DEBE COBRAR A TRANSCOMERCIAL)</t>
  </si>
  <si>
    <t>MARIO RODRIGUEZ</t>
  </si>
  <si>
    <t>D122713487</t>
  </si>
  <si>
    <t>Cliente realiza devolución de 50lbras  de clavo acero estriado  vert.  1-1/2 x3.50, (no recibió el cliente)  FACT 286398 NC  por un valor de $243.500</t>
  </si>
  <si>
    <t>ESPANA PAREDES JAIRO ANTONIO</t>
  </si>
  <si>
    <t>R123009009</t>
  </si>
  <si>
    <t>Se le  debe generar una NC  por alambre  galvanizado  calibre 14 (2.10mm) ya que no llego el producto. NC por valor de $275.200  Se le debe generar una factura por sobrante,  alambre galvanizado calibre 12 (2.75)  este no esta facturado.</t>
  </si>
  <si>
    <t>DIMAFER</t>
  </si>
  <si>
    <t>FERRETERIA DIMAFER &amp; HERMACO SAS</t>
  </si>
  <si>
    <t>Ciudad:BOGOTA  Dir:   CR 15 # 12-16</t>
  </si>
  <si>
    <t>D123009454</t>
  </si>
  <si>
    <t>(El cliente si solicito la mercancía.)  Devuelve  5 puntilla de 3 1/2 x 8   400gr, cliente dice que pidió de 3' X 400  Se le debe generar NC por un valor de $570.415  No factura 287370  Fecha 12/19/2024</t>
  </si>
  <si>
    <t>ferdimher@hotmail.com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</si>
</sst>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 #,##0.00;[Red]\-&quot;$&quot;\ #,##0.00"/>
    <numFmt numFmtId="44" formatCode="_-&quot;$&quot;\ * #,##0.00_-;\-&quot;$&quot;\ * #,##0.00_-;_-&quot;$&quot;\ * &quot;-&quot;??_-;_-@_-"/>
    <numFmt numFmtId="164" formatCode="yyyy\-mmm\-dd\ h:mm:ss"/>
    <numFmt numFmtId="165" formatCode="_(&quot;$&quot;* #,##0.00_);_(&quot;$&quot;* \(#,##0.00\);_(&quot;$&quot;* &quot;-&quot;??_);_(@_)"/>
  </numFmts>
  <fonts count="4">
    <font>
      <sz val="11"/>
      <color theme="1"/>
      <name val="Calibri"/>
      <family val="2"/>
      <scheme val="minor"/>
    </font>
    <font>
      <sz val="11"/>
      <color theme="1"/>
      <name val="Calibri"/>
      <family val="2"/>
      <scheme val="minor"/>
    </font>
    <font>
      <sz val="10.45"/>
      <color rgb="FF323337"/>
      <name val="Arial"/>
      <family val="2"/>
    </font>
    <font>
      <sz val="10"/>
      <color indexed="8"/>
      <name val="Sans"/>
    </font>
  </fonts>
  <fills count="6">
    <fill>
      <patternFill patternType="none"/>
    </fill>
    <fill>
      <patternFill patternType="gray125"/>
    </fill>
    <fill>
      <patternFill patternType="solid">
        <fgColor theme="4" tint="0.39997558519241921"/>
        <bgColor indexed="64"/>
      </patternFill>
    </fill>
    <fill>
      <patternFill patternType="solid">
        <fgColor theme="2" tint="-0.499984740745262"/>
        <bgColor indexed="64"/>
      </patternFill>
    </fill>
    <fill>
      <patternFill patternType="solid">
        <fgColor rgb="FFFFFF00"/>
        <bgColor indexed="64"/>
      </patternFill>
    </fill>
    <fill>
      <patternFill patternType="solid">
        <fgColor rgb="FF00B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44" fontId="1" fillId="0" borderId="0" applyFont="0" applyFill="0" applyBorder="0" applyAlignment="0" applyProtection="0"/>
    <xf numFmtId="165" fontId="3" fillId="0" borderId="0" applyFont="0" applyFill="0" applyBorder="0" applyAlignment="0" applyProtection="0"/>
  </cellStyleXfs>
  <cellXfs count="56">
    <xf numFmtId="0" fontId="0" fillId="0" borderId="0" xfId="0"/>
    <xf numFmtId="0" fontId="0" fillId="2" borderId="0" xfId="0" applyFill="1"/>
    <xf numFmtId="0" fontId="0" fillId="0" borderId="0" xfId="0" applyAlignment="1">
      <alignment wrapText="1"/>
    </xf>
    <xf numFmtId="0" fontId="0" fillId="3" borderId="0" xfId="0" applyFill="1"/>
    <xf numFmtId="0" fontId="0" fillId="2" borderId="0" xfId="0" applyFill="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2" fontId="0" fillId="2" borderId="0" xfId="0" applyNumberFormat="1" applyFill="1"/>
    <xf numFmtId="14" fontId="0" fillId="0" borderId="0" xfId="0" applyNumberFormat="1"/>
    <xf numFmtId="2" fontId="0" fillId="0" borderId="0" xfId="0" applyNumberFormat="1"/>
    <xf numFmtId="164" fontId="0" fillId="0" borderId="0" xfId="0" applyNumberFormat="1"/>
    <xf numFmtId="2" fontId="0" fillId="0" borderId="0" xfId="0" applyNumberFormat="1" applyAlignment="1">
      <alignment horizontal="center" vertical="center"/>
    </xf>
    <xf numFmtId="164" fontId="0" fillId="0" borderId="0" xfId="0" applyNumberFormat="1" applyAlignment="1">
      <alignment horizontal="center" vertical="center"/>
    </xf>
    <xf numFmtId="0" fontId="2" fillId="0" borderId="1" xfId="0" applyFont="1" applyBorder="1" applyAlignment="1">
      <alignment vertical="center" wrapText="1"/>
    </xf>
    <xf numFmtId="0" fontId="0" fillId="0" borderId="0" xfId="0" applyAlignment="1">
      <alignment vertical="center" wrapText="1"/>
    </xf>
    <xf numFmtId="0" fontId="0" fillId="0" borderId="0" xfId="0" applyAlignment="1">
      <alignment vertical="center"/>
    </xf>
    <xf numFmtId="0" fontId="0" fillId="4" borderId="0" xfId="0" applyFill="1"/>
    <xf numFmtId="14" fontId="0" fillId="4" borderId="0" xfId="0" applyNumberFormat="1" applyFill="1"/>
    <xf numFmtId="0" fontId="0" fillId="4" borderId="0" xfId="0" applyFill="1" applyAlignment="1">
      <alignment wrapText="1"/>
    </xf>
    <xf numFmtId="0" fontId="0" fillId="4" borderId="0" xfId="0" applyFill="1" applyAlignment="1">
      <alignment vertical="center" wrapText="1"/>
    </xf>
    <xf numFmtId="0" fontId="0" fillId="4" borderId="0" xfId="0" applyFill="1" applyAlignment="1">
      <alignment vertical="center"/>
    </xf>
    <xf numFmtId="2" fontId="0" fillId="4" borderId="0" xfId="0" applyNumberFormat="1" applyFill="1"/>
    <xf numFmtId="164" fontId="0" fillId="4" borderId="0" xfId="0" applyNumberFormat="1" applyFill="1"/>
    <xf numFmtId="14" fontId="0" fillId="0" borderId="0" xfId="0" applyNumberFormat="1" applyAlignment="1">
      <alignment horizontal="center" vertical="center"/>
    </xf>
    <xf numFmtId="0" fontId="0" fillId="5" borderId="0" xfId="0" applyFill="1" applyAlignment="1">
      <alignment horizontal="left" vertical="center" wrapText="1"/>
    </xf>
    <xf numFmtId="14" fontId="0" fillId="0" borderId="0" xfId="0" applyNumberFormat="1" applyAlignment="1">
      <alignment vertical="center"/>
    </xf>
    <xf numFmtId="165" fontId="0" fillId="0" borderId="0" xfId="2" applyFont="1" applyFill="1" applyAlignment="1" applyProtection="1">
      <alignment vertical="center"/>
    </xf>
    <xf numFmtId="44" fontId="0" fillId="0" borderId="0" xfId="1" applyFont="1"/>
    <xf numFmtId="165" fontId="0" fillId="0" borderId="0" xfId="2" applyFont="1" applyFill="1" applyBorder="1" applyAlignment="1" applyProtection="1">
      <alignment vertical="center"/>
    </xf>
    <xf numFmtId="0" fontId="0" fillId="5" borderId="0" xfId="0" applyFill="1" applyAlignment="1">
      <alignment horizontal="left" vertical="center"/>
    </xf>
    <xf numFmtId="0" fontId="0" fillId="0" borderId="0" xfId="0" applyAlignment="1">
      <alignment horizontal="center" vertical="center"/>
    </xf>
    <xf numFmtId="165" fontId="0" fillId="0" borderId="0" xfId="2" applyFont="1" applyFill="1" applyAlignment="1" applyProtection="1">
      <alignment vertical="center" wrapText="1"/>
    </xf>
    <xf numFmtId="0" fontId="0" fillId="4" borderId="0" xfId="0" applyFill="1" applyAlignment="1">
      <alignment horizontal="center" vertical="center"/>
    </xf>
    <xf numFmtId="2" fontId="0" fillId="0" borderId="0" xfId="0" applyNumberFormat="1" applyAlignment="1">
      <alignment vertical="center"/>
    </xf>
    <xf numFmtId="164" fontId="0" fillId="0" borderId="0" xfId="0" applyNumberFormat="1" applyAlignment="1">
      <alignment vertical="center"/>
    </xf>
    <xf numFmtId="8" fontId="0" fillId="0" borderId="0" xfId="0" applyNumberFormat="1" applyAlignment="1">
      <alignment vertical="center" wrapText="1"/>
    </xf>
    <xf numFmtId="165" fontId="0" fillId="0" borderId="0" xfId="2" applyFont="1" applyFill="1" applyBorder="1" applyAlignment="1" applyProtection="1"/>
    <xf numFmtId="165" fontId="0" fillId="0" borderId="0" xfId="2" applyFont="1" applyFill="1" applyBorder="1" applyAlignment="1" applyProtection="1">
      <alignment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center" vertical="center" wrapText="1"/>
    </xf>
    <xf numFmtId="3" fontId="0" fillId="0" borderId="0" xfId="0" applyNumberFormat="1" applyAlignment="1">
      <alignment vertical="center"/>
    </xf>
    <xf numFmtId="165" fontId="0" fillId="0" borderId="0" xfId="2" applyFont="1" applyFill="1" applyBorder="1" applyAlignment="1" applyProtection="1">
      <alignment horizontal="center" vertical="center"/>
    </xf>
    <xf numFmtId="165" fontId="0" fillId="4" borderId="0" xfId="2" applyFont="1" applyFill="1" applyBorder="1" applyAlignment="1" applyProtection="1"/>
    <xf numFmtId="0" fontId="0" fillId="5" borderId="0" xfId="0" applyFill="1" applyAlignment="1">
      <alignment horizontal="left"/>
    </xf>
    <xf numFmtId="0" fontId="0" fillId="5" borderId="0" xfId="0" applyFill="1" applyAlignment="1">
      <alignment vertical="center"/>
    </xf>
    <xf numFmtId="0" fontId="0" fillId="0" borderId="0" xfId="0" applyAlignment="1">
      <alignment horizontal="left" wrapText="1"/>
    </xf>
    <xf numFmtId="0" fontId="2" fillId="4" borderId="1" xfId="0" applyFont="1" applyFill="1" applyBorder="1" applyAlignment="1">
      <alignment vertical="center" wrapText="1"/>
    </xf>
    <xf numFmtId="14" fontId="0" fillId="4" borderId="0" xfId="0" applyNumberFormat="1" applyFill="1" applyAlignment="1">
      <alignment vertical="center"/>
    </xf>
    <xf numFmtId="2" fontId="0" fillId="4" borderId="0" xfId="0" applyNumberFormat="1" applyFill="1" applyAlignment="1">
      <alignment vertical="center"/>
    </xf>
    <xf numFmtId="165" fontId="0" fillId="4" borderId="0" xfId="2" applyFont="1" applyFill="1" applyBorder="1" applyAlignment="1" applyProtection="1">
      <alignment vertical="center"/>
    </xf>
    <xf numFmtId="164" fontId="0" fillId="0" borderId="0" xfId="0" applyNumberFormat="1" applyAlignment="1">
      <alignment vertical="center" wrapText="1"/>
    </xf>
    <xf numFmtId="3" fontId="0" fillId="0" borderId="0" xfId="0" applyNumberFormat="1"/>
    <xf numFmtId="0" fontId="2" fillId="0" borderId="1" xfId="0" applyFont="1" applyBorder="1" applyAlignment="1">
      <alignment horizontal="left" vertical="center" wrapText="1"/>
    </xf>
    <xf numFmtId="0" fontId="0" fillId="4" borderId="0" xfId="0" applyFill="1" applyAlignment="1">
      <alignment horizontal="left"/>
    </xf>
    <xf numFmtId="0" fontId="0" fillId="5" borderId="0" xfId="0" applyFill="1"/>
  </cellXfs>
  <cellStyles count="3">
    <cellStyle name="Moneda" xfId="1" builtinId="4"/>
    <cellStyle name="Moneda 2" xfId="2" xr:uid="{46D8E38F-6AEB-44CB-9901-7C0C5BD7FCAF}"/>
    <cellStyle name="Normal" xfId="0" builtinId="0"/>
  </cellStyles>
  <dxfs count="8">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bottom" textRotation="0" wrapText="0" indent="0" justifyLastLine="0" shrinkToFit="0" readingOrder="0"/>
      <protection locked="1" hidden="0"/>
    </dxf>
    <dxf>
      <numFmt numFmtId="2" formatCode="0.00"/>
    </dxf>
    <dxf>
      <numFmt numFmtId="2" formatCode="0.00"/>
    </dxf>
    <dxf>
      <numFmt numFmtId="19" formatCode="d/mm/yyyy"/>
    </dxf>
    <dxf>
      <alignment horizontal="general" textRotation="0" wrapText="1" indent="0" justifyLastLine="0" shrinkToFit="0" readingOrder="0"/>
    </dxf>
    <dxf>
      <alignment horizontal="general" textRotation="0" wrapText="1" indent="0" justifyLastLine="0" shrinkToFit="0" readingOrder="0"/>
    </dxf>
    <dxf>
      <numFmt numFmtId="19" formatCode="d/mm/yyyy"/>
    </dxf>
    <dxf>
      <fill>
        <patternFill patternType="solid">
          <fgColor indexed="64"/>
          <bgColor theme="4"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AB1665-16B1-472A-B6D8-614CF1462BDB}" name="Tabla1" displayName="Tabla1" ref="A1:AQ1048576" totalsRowShown="0" headerRowDxfId="7">
  <autoFilter ref="A1:AQ1048576" xr:uid="{9225EB51-0795-4942-91AA-7F12BFAAAD7C}">
    <filterColumn colId="1">
      <filters>
        <filter val="10"/>
        <filter val="11"/>
        <filter val="12"/>
      </filters>
    </filterColumn>
    <filterColumn colId="14">
      <filters>
        <filter val="Producción (Púas - Galvanizado)"/>
        <filter val="Producción (Puntilleria - Acero - Tornillería)"/>
        <filter val="Producción (Trefilación - Recocido - Varillas)"/>
      </filters>
    </filterColumn>
  </autoFilter>
  <tableColumns count="43">
    <tableColumn id="40" xr3:uid="{C39F5365-5869-40D5-A676-B1AB0647976E}" name="Columna2"/>
    <tableColumn id="1" xr3:uid="{A817FBA1-B69A-4024-B25C-EBB9E94D6056}" name="Mes"/>
    <tableColumn id="2" xr3:uid="{89E72E74-3FC7-41ED-B29A-E08414663B3D}" name="Nit Cliente"/>
    <tableColumn id="3" xr3:uid="{186F3D78-59A2-42A8-9979-BB99BAA8AE63}" name="Razon Social"/>
    <tableColumn id="4" xr3:uid="{15F84A06-545C-4997-AED6-213BFCEAD7B2}" name="Nombre Cliente"/>
    <tableColumn id="5" xr3:uid="{180D6373-0205-4E88-9607-E45C36EACCBE}" name="Cedula Solicitante"/>
    <tableColumn id="6" xr3:uid="{4321CE4C-E85D-461F-BDA2-059610E6D4A0}" name="Nombre Solicitante"/>
    <tableColumn id="7" xr3:uid="{04AA69A3-1DD8-49B0-B98B-62099003E8E0}" name="Direccion"/>
    <tableColumn id="8" xr3:uid="{F57482C4-8B27-466B-970C-04478524F917}" name="Municipio"/>
    <tableColumn id="9" xr3:uid="{316296E2-FE59-4174-9CE3-758244AAE134}" name="Prioridad"/>
    <tableColumn id="10" xr3:uid="{B61DB9AC-72DF-482A-86C5-D593BE15AB95}" name="Area Encargada"/>
    <tableColumn id="11" xr3:uid="{5F6145DC-77C5-4740-AF82-174C2C2AFA6C}" name="Dias Transcurridos"/>
    <tableColumn id="12" xr3:uid="{526DF109-2726-4D71-A70F-D5C7F81E3BB5}" name="Dias en el Area"/>
    <tableColumn id="13" xr3:uid="{5E205CCC-6DE7-4703-B8B8-A09BA8C13324}" name="Dias de Vencimiento"/>
    <tableColumn id="14" xr3:uid="{97C9F85D-98AB-4AA3-AA8E-1993538465F4}" name="Area Inicial"/>
    <tableColumn id="15" xr3:uid="{FD0C9AB1-DD32-49D5-B0A4-69B2088B39C6}" name="Departamento"/>
    <tableColumn id="16" xr3:uid="{E8C09DFC-C516-4FCD-90E2-9E101CF74831}" name="Radicado"/>
    <tableColumn id="17" xr3:uid="{30D807CA-200A-49DC-86F9-FD45362B0B62}" name="Ano"/>
    <tableColumn id="18" xr3:uid="{2B215665-7E71-4D4D-A20E-38A5AA8CF05F}" name="Solicitud"/>
    <tableColumn id="19" xr3:uid="{E4C15AB6-CD73-4C06-B370-BDE65C80FA88}" name="Tipo Solicitud"/>
    <tableColumn id="20" xr3:uid="{45D27EFF-B08D-4289-8E60-A35C889803AD}" name="Fechas Creacion" dataDxfId="6"/>
    <tableColumn id="21" xr3:uid="{A7B97701-166F-4B8B-8AFE-81D61FE97372}" name="Nota Solicitud" dataDxfId="5"/>
    <tableColumn id="22" xr3:uid="{A3F9565A-3C45-4F15-9EEA-BE7CCF11AE89}" name="Fecha Vencimiento"/>
    <tableColumn id="23" xr3:uid="{B81464CE-7FE2-4CA5-BC8E-A9E526C39E11}" name="Estado respuesta"/>
    <tableColumn id="24" xr3:uid="{9CC05897-8D39-4E6F-94E4-881B22907D89}" name="Estado cierre"/>
    <tableColumn id="25" xr3:uid="{EA1C8642-634D-46B1-B18A-2E4009F5A383}" name="Radicador"/>
    <tableColumn id="45" xr3:uid="{6C50DF20-96B0-46D8-A2D0-F05B00E154AB}" name="Columna8"/>
    <tableColumn id="44" xr3:uid="{B6437674-2637-4FD6-9858-3509C6D37D9F}" name="Columna7"/>
    <tableColumn id="43" xr3:uid="{8E5759A1-D058-44A1-81DE-B75A4CFB8349}" name="Columna6"/>
    <tableColumn id="38" xr3:uid="{5EC2A9BA-13DD-4D63-99F9-B021D8834602}" name="Proceso" dataDxfId="4"/>
    <tableColumn id="39" xr3:uid="{F24577A4-BAF4-4F03-A245-714A6797C8B7}" name="Descripción"/>
    <tableColumn id="26" xr3:uid="{7C2F2C69-78E5-48CD-ADA7-30A81A14CF8C}" name="Referencia"/>
    <tableColumn id="27" xr3:uid="{B3BC63CF-78E8-48B3-B36E-40949674F634}" name="Respuesta"/>
    <tableColumn id="28" xr3:uid="{8DF0F205-5FB0-45B2-AC76-1A38383A148D}" name="Estado"/>
    <tableColumn id="29" xr3:uid="{65CCD3C0-527C-404B-B30C-9A2B2CF8F481}" name="Fecha informe" dataDxfId="3"/>
    <tableColumn id="30" xr3:uid="{7F684994-351D-48F2-AF1D-4951C94B647E}" name="Tiempo informe" dataDxfId="2"/>
    <tableColumn id="31" xr3:uid="{FB87253B-7729-4702-8F8F-AABDB9C0AFB7}" name="Respuesta oportuna" dataDxfId="1"/>
    <tableColumn id="32" xr3:uid="{C234D213-C685-4F69-822B-836368ADCBD3}" name="Concepto"/>
    <tableColumn id="33" xr3:uid="{4938A36C-9617-48A5-A812-9F466D1E614F}" name="Tipo"/>
    <tableColumn id="34" xr3:uid="{93F128D7-8CB2-4014-8952-B663FD5A9634}" name="Defecto"/>
    <tableColumn id="35" xr3:uid="{80E78C42-391D-4E99-B437-D198BDF09BAF}" name="Seguimiento"/>
    <tableColumn id="36" xr3:uid="{0622913D-A665-4EA7-A22C-6C3B3153648B}" name="Costo" dataDxfId="0" dataCellStyle="Moneda 2"/>
    <tableColumn id="37" xr3:uid="{97D35E89-6037-4E92-A122-70AB746C9B0E}" name="Pago"/>
  </tableColumns>
  <tableStyleInfo name="TableStyleLight1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E21AB-D631-4890-BD04-D707EBB4FFFA}">
  <dimension ref="A1:AQ433"/>
  <sheetViews>
    <sheetView tabSelected="1" zoomScale="80" zoomScaleNormal="80" workbookViewId="0">
      <selection activeCell="AN1" sqref="AN1"/>
    </sheetView>
  </sheetViews>
  <sheetFormatPr baseColWidth="10" defaultRowHeight="15" zeroHeight="1"/>
  <cols>
    <col min="3" max="3" width="12.7109375" customWidth="1"/>
    <col min="4" max="4" width="40.140625" customWidth="1"/>
    <col min="5" max="5" width="43.28515625" customWidth="1"/>
    <col min="6" max="6" width="19.140625" hidden="1" customWidth="1"/>
    <col min="7" max="7" width="20.28515625" hidden="1" customWidth="1"/>
    <col min="8" max="8" width="11.42578125" hidden="1" customWidth="1"/>
    <col min="9" max="9" width="12" hidden="1" customWidth="1"/>
    <col min="10" max="10" width="11.42578125" hidden="1" customWidth="1"/>
    <col min="11" max="11" width="16.5703125" hidden="1" customWidth="1"/>
    <col min="12" max="12" width="19.140625" hidden="1" customWidth="1"/>
    <col min="13" max="13" width="16.28515625" hidden="1" customWidth="1"/>
    <col min="14" max="14" width="21.42578125" hidden="1" customWidth="1"/>
    <col min="15" max="15" width="13" customWidth="1"/>
    <col min="16" max="16" width="16" hidden="1" customWidth="1"/>
    <col min="17" max="17" width="11.42578125" customWidth="1"/>
    <col min="18" max="19" width="11.42578125" hidden="1" customWidth="1"/>
    <col min="20" max="20" width="22.42578125" hidden="1" customWidth="1"/>
    <col min="21" max="21" width="25.5703125" style="8" customWidth="1"/>
    <col min="22" max="22" width="72.28515625" style="2" customWidth="1"/>
    <col min="23" max="23" width="56.28515625" customWidth="1"/>
    <col min="24" max="24" width="11.5703125" customWidth="1"/>
    <col min="25" max="25" width="15.140625" customWidth="1"/>
    <col min="26" max="26" width="18.5703125" customWidth="1"/>
    <col min="27" max="27" width="19.42578125" customWidth="1"/>
    <col min="28" max="28" width="38.28515625" customWidth="1"/>
    <col min="29" max="29" width="11.7109375" customWidth="1"/>
    <col min="30" max="30" width="32.28515625" style="2" customWidth="1"/>
    <col min="31" max="31" width="28.140625" customWidth="1"/>
    <col min="32" max="32" width="15.5703125" customWidth="1"/>
    <col min="33" max="34" width="11.5703125" customWidth="1"/>
    <col min="35" max="35" width="11.42578125" customWidth="1"/>
    <col min="36" max="37" width="13.140625" style="9" customWidth="1"/>
    <col min="38" max="38" width="13" customWidth="1"/>
    <col min="39" max="39" width="16.42578125" customWidth="1"/>
    <col min="40" max="40" width="25.28515625" customWidth="1"/>
    <col min="41" max="41" width="33.85546875" customWidth="1"/>
    <col min="42" max="42" width="15.85546875" style="36" customWidth="1"/>
    <col min="43" max="43" width="9.140625" customWidth="1"/>
  </cols>
  <sheetData>
    <row r="1" spans="1:43">
      <c r="A1" s="1" t="s">
        <v>0</v>
      </c>
      <c r="B1" t="s">
        <v>1</v>
      </c>
      <c r="C1" t="s">
        <v>2</v>
      </c>
      <c r="D1" s="2" t="s">
        <v>3</v>
      </c>
      <c r="E1" t="s">
        <v>4</v>
      </c>
      <c r="F1" t="s">
        <v>5</v>
      </c>
      <c r="G1" t="s">
        <v>6</v>
      </c>
      <c r="H1" t="s">
        <v>7</v>
      </c>
      <c r="I1" t="s">
        <v>8</v>
      </c>
      <c r="J1" t="s">
        <v>9</v>
      </c>
      <c r="K1" t="s">
        <v>10</v>
      </c>
      <c r="L1" t="s">
        <v>11</v>
      </c>
      <c r="M1" t="s">
        <v>12</v>
      </c>
      <c r="N1" t="s">
        <v>13</v>
      </c>
      <c r="O1" t="s">
        <v>14</v>
      </c>
      <c r="P1" t="s">
        <v>15</v>
      </c>
      <c r="Q1" t="s">
        <v>16</v>
      </c>
      <c r="R1" t="s">
        <v>17</v>
      </c>
      <c r="S1" t="s">
        <v>18</v>
      </c>
      <c r="T1" t="s">
        <v>19</v>
      </c>
      <c r="U1" s="3" t="s">
        <v>20</v>
      </c>
      <c r="V1" s="2" t="s">
        <v>21</v>
      </c>
      <c r="W1" t="s">
        <v>22</v>
      </c>
      <c r="X1" t="s">
        <v>23</v>
      </c>
      <c r="Y1" t="s">
        <v>24</v>
      </c>
      <c r="Z1" t="s">
        <v>25</v>
      </c>
      <c r="AA1" t="s">
        <v>26</v>
      </c>
      <c r="AB1" t="s">
        <v>27</v>
      </c>
      <c r="AC1" t="s">
        <v>28</v>
      </c>
      <c r="AD1" s="4" t="s">
        <v>29</v>
      </c>
      <c r="AE1" s="5" t="s">
        <v>30</v>
      </c>
      <c r="AF1" s="6" t="s">
        <v>31</v>
      </c>
      <c r="AG1" s="1" t="s">
        <v>32</v>
      </c>
      <c r="AH1" s="1" t="s">
        <v>33</v>
      </c>
      <c r="AI1" s="1" t="s">
        <v>34</v>
      </c>
      <c r="AJ1" s="7" t="s">
        <v>35</v>
      </c>
      <c r="AK1" s="7" t="s">
        <v>36</v>
      </c>
      <c r="AL1" s="1" t="s">
        <v>37</v>
      </c>
      <c r="AM1" s="6" t="s">
        <v>38</v>
      </c>
      <c r="AN1" s="5" t="s">
        <v>39</v>
      </c>
      <c r="AO1" s="1" t="s">
        <v>40</v>
      </c>
      <c r="AP1" s="1" t="s">
        <v>41</v>
      </c>
      <c r="AQ1" s="1" t="s">
        <v>42</v>
      </c>
    </row>
    <row r="2" spans="1:43" ht="45" hidden="1">
      <c r="B2">
        <v>4</v>
      </c>
      <c r="C2">
        <v>901146913</v>
      </c>
      <c r="D2" t="s">
        <v>43</v>
      </c>
      <c r="E2" t="s">
        <v>44</v>
      </c>
      <c r="F2">
        <v>901146913</v>
      </c>
      <c r="G2" t="s">
        <v>44</v>
      </c>
      <c r="H2" t="s">
        <v>45</v>
      </c>
      <c r="I2" t="s">
        <v>46</v>
      </c>
      <c r="J2" t="s">
        <v>47</v>
      </c>
      <c r="K2" t="s">
        <v>48</v>
      </c>
      <c r="L2">
        <v>178</v>
      </c>
      <c r="M2">
        <v>168</v>
      </c>
      <c r="N2">
        <v>176</v>
      </c>
      <c r="O2" t="s">
        <v>49</v>
      </c>
      <c r="P2" t="s">
        <v>50</v>
      </c>
      <c r="Q2" t="s">
        <v>51</v>
      </c>
      <c r="R2">
        <v>2024</v>
      </c>
      <c r="S2" t="s">
        <v>52</v>
      </c>
      <c r="T2" t="s">
        <v>53</v>
      </c>
      <c r="U2" s="8">
        <v>45387.51972222222</v>
      </c>
      <c r="V2" s="2" t="s">
        <v>54</v>
      </c>
      <c r="X2" t="s">
        <v>55</v>
      </c>
      <c r="Y2" t="s">
        <v>56</v>
      </c>
      <c r="Z2" t="s">
        <v>57</v>
      </c>
      <c r="AA2">
        <v>3793437</v>
      </c>
      <c r="AB2" t="s">
        <v>58</v>
      </c>
      <c r="AC2">
        <v>3</v>
      </c>
      <c r="AJ2" s="9" t="str">
        <f t="shared" ref="AJ2:AJ66" si="0">IF(AI2="","Sin respuesta",NETWORKDAYS.INTL(X2,AI2,1))</f>
        <v>Sin respuesta</v>
      </c>
      <c r="AK2" s="10" t="str">
        <f t="shared" ref="AK2:AK66" si="1">IF(AJ2="Sin respuesta","Sin respuesta",IF(AJ2&lt;10,"SÏ","No"))</f>
        <v>Sin respuesta</v>
      </c>
      <c r="AP2"/>
    </row>
    <row r="3" spans="1:43" hidden="1">
      <c r="B3">
        <v>1</v>
      </c>
      <c r="C3">
        <v>901444226</v>
      </c>
      <c r="D3" t="s">
        <v>59</v>
      </c>
      <c r="E3" t="s">
        <v>59</v>
      </c>
      <c r="F3">
        <v>901444226</v>
      </c>
      <c r="G3" t="s">
        <v>59</v>
      </c>
      <c r="H3" t="s">
        <v>60</v>
      </c>
      <c r="I3" t="s">
        <v>61</v>
      </c>
      <c r="J3" t="s">
        <v>47</v>
      </c>
      <c r="K3" t="s">
        <v>48</v>
      </c>
      <c r="L3">
        <v>250</v>
      </c>
      <c r="M3">
        <v>250</v>
      </c>
      <c r="N3">
        <v>248</v>
      </c>
      <c r="O3" t="s">
        <v>62</v>
      </c>
      <c r="P3" t="s">
        <v>63</v>
      </c>
      <c r="Q3" t="s">
        <v>64</v>
      </c>
      <c r="R3">
        <v>2024</v>
      </c>
      <c r="S3" t="s">
        <v>65</v>
      </c>
      <c r="T3" t="s">
        <v>66</v>
      </c>
      <c r="U3" s="8">
        <v>45315.607870370368</v>
      </c>
      <c r="V3" s="2" t="s">
        <v>67</v>
      </c>
      <c r="X3" t="s">
        <v>55</v>
      </c>
      <c r="Y3" t="s">
        <v>56</v>
      </c>
      <c r="Z3" t="s">
        <v>68</v>
      </c>
      <c r="AA3">
        <v>8390988</v>
      </c>
      <c r="AB3" t="s">
        <v>69</v>
      </c>
      <c r="AC3">
        <v>6</v>
      </c>
      <c r="AD3" s="2" t="s">
        <v>70</v>
      </c>
      <c r="AJ3" s="11" t="str">
        <f t="shared" si="0"/>
        <v>Sin respuesta</v>
      </c>
      <c r="AK3" s="12" t="str">
        <f t="shared" si="1"/>
        <v>Sin respuesta</v>
      </c>
      <c r="AN3" t="s">
        <v>71</v>
      </c>
      <c r="AP3"/>
    </row>
    <row r="4" spans="1:43" ht="60" hidden="1">
      <c r="B4">
        <v>2</v>
      </c>
      <c r="C4">
        <v>811025390</v>
      </c>
      <c r="D4" t="s">
        <v>72</v>
      </c>
      <c r="E4" t="s">
        <v>72</v>
      </c>
      <c r="F4">
        <v>79691533</v>
      </c>
      <c r="G4" t="s">
        <v>73</v>
      </c>
      <c r="H4" t="s">
        <v>74</v>
      </c>
      <c r="I4" t="s">
        <v>75</v>
      </c>
      <c r="J4" t="s">
        <v>47</v>
      </c>
      <c r="K4" t="s">
        <v>48</v>
      </c>
      <c r="L4">
        <v>238</v>
      </c>
      <c r="M4">
        <v>210</v>
      </c>
      <c r="N4">
        <v>236</v>
      </c>
      <c r="O4" t="s">
        <v>48</v>
      </c>
      <c r="P4" t="s">
        <v>63</v>
      </c>
      <c r="Q4" t="s">
        <v>76</v>
      </c>
      <c r="R4">
        <v>2024</v>
      </c>
      <c r="S4" t="s">
        <v>65</v>
      </c>
      <c r="T4" t="s">
        <v>77</v>
      </c>
      <c r="U4" s="8">
        <v>45327.612314814818</v>
      </c>
      <c r="V4" s="2" t="s">
        <v>78</v>
      </c>
      <c r="X4" t="s">
        <v>55</v>
      </c>
      <c r="Y4" t="s">
        <v>56</v>
      </c>
      <c r="Z4" t="s">
        <v>68</v>
      </c>
      <c r="AA4">
        <v>8200101</v>
      </c>
      <c r="AB4" t="s">
        <v>79</v>
      </c>
      <c r="AC4">
        <v>2</v>
      </c>
      <c r="AJ4" s="9" t="str">
        <f t="shared" si="0"/>
        <v>Sin respuesta</v>
      </c>
      <c r="AK4" s="10" t="str">
        <f t="shared" si="1"/>
        <v>Sin respuesta</v>
      </c>
      <c r="AP4"/>
    </row>
    <row r="5" spans="1:43" ht="60" hidden="1">
      <c r="B5">
        <v>2</v>
      </c>
      <c r="C5">
        <v>901093078</v>
      </c>
      <c r="D5" t="s">
        <v>80</v>
      </c>
      <c r="E5" t="s">
        <v>81</v>
      </c>
      <c r="F5">
        <v>12999989</v>
      </c>
      <c r="G5" t="s">
        <v>82</v>
      </c>
      <c r="H5" t="s">
        <v>83</v>
      </c>
      <c r="I5" t="s">
        <v>84</v>
      </c>
      <c r="J5" t="s">
        <v>47</v>
      </c>
      <c r="K5" t="s">
        <v>48</v>
      </c>
      <c r="L5">
        <v>237</v>
      </c>
      <c r="M5">
        <v>220</v>
      </c>
      <c r="N5">
        <v>235</v>
      </c>
      <c r="O5" t="s">
        <v>62</v>
      </c>
      <c r="P5" t="s">
        <v>85</v>
      </c>
      <c r="Q5" t="s">
        <v>86</v>
      </c>
      <c r="R5">
        <v>2024</v>
      </c>
      <c r="S5" t="s">
        <v>87</v>
      </c>
      <c r="T5" t="s">
        <v>88</v>
      </c>
      <c r="U5" s="8">
        <v>45328.402581018519</v>
      </c>
      <c r="V5" s="2" t="s">
        <v>89</v>
      </c>
      <c r="X5" t="s">
        <v>55</v>
      </c>
      <c r="Y5" t="s">
        <v>56</v>
      </c>
      <c r="Z5" t="s">
        <v>68</v>
      </c>
      <c r="AA5">
        <v>7361166</v>
      </c>
      <c r="AB5" t="s">
        <v>90</v>
      </c>
      <c r="AC5">
        <v>6</v>
      </c>
      <c r="AD5" s="2" t="s">
        <v>91</v>
      </c>
      <c r="AJ5" s="11" t="str">
        <f t="shared" si="0"/>
        <v>Sin respuesta</v>
      </c>
      <c r="AK5" s="12" t="str">
        <f t="shared" si="1"/>
        <v>Sin respuesta</v>
      </c>
      <c r="AP5"/>
    </row>
    <row r="6" spans="1:43" ht="30" hidden="1">
      <c r="B6">
        <v>2</v>
      </c>
      <c r="C6">
        <v>890324420</v>
      </c>
      <c r="D6" t="s">
        <v>92</v>
      </c>
      <c r="E6" t="s">
        <v>93</v>
      </c>
      <c r="F6">
        <v>71691849</v>
      </c>
      <c r="G6" t="s">
        <v>94</v>
      </c>
      <c r="H6" t="s">
        <v>95</v>
      </c>
      <c r="I6" t="s">
        <v>96</v>
      </c>
      <c r="J6" t="s">
        <v>47</v>
      </c>
      <c r="K6" t="s">
        <v>48</v>
      </c>
      <c r="L6">
        <v>236</v>
      </c>
      <c r="M6">
        <v>210</v>
      </c>
      <c r="N6">
        <v>234</v>
      </c>
      <c r="O6" t="s">
        <v>48</v>
      </c>
      <c r="P6" t="s">
        <v>97</v>
      </c>
      <c r="Q6" t="s">
        <v>98</v>
      </c>
      <c r="R6">
        <v>2024</v>
      </c>
      <c r="S6" t="s">
        <v>65</v>
      </c>
      <c r="T6" t="s">
        <v>77</v>
      </c>
      <c r="U6" s="8">
        <v>45329.440821759257</v>
      </c>
      <c r="V6" s="2" t="s">
        <v>99</v>
      </c>
      <c r="X6" t="s">
        <v>55</v>
      </c>
      <c r="Y6" t="s">
        <v>56</v>
      </c>
      <c r="Z6" t="s">
        <v>68</v>
      </c>
      <c r="AA6">
        <v>4437900</v>
      </c>
      <c r="AB6" t="s">
        <v>100</v>
      </c>
      <c r="AC6">
        <v>2</v>
      </c>
      <c r="AJ6" s="9" t="str">
        <f t="shared" si="0"/>
        <v>Sin respuesta</v>
      </c>
      <c r="AK6" s="10" t="str">
        <f t="shared" si="1"/>
        <v>Sin respuesta</v>
      </c>
      <c r="AP6"/>
    </row>
    <row r="7" spans="1:43" ht="30" hidden="1">
      <c r="B7">
        <v>2</v>
      </c>
      <c r="C7">
        <v>900495705</v>
      </c>
      <c r="D7" t="s">
        <v>101</v>
      </c>
      <c r="E7" t="s">
        <v>102</v>
      </c>
      <c r="F7">
        <v>71691849</v>
      </c>
      <c r="G7" t="s">
        <v>94</v>
      </c>
      <c r="H7" t="s">
        <v>103</v>
      </c>
      <c r="I7" t="s">
        <v>104</v>
      </c>
      <c r="J7" t="s">
        <v>47</v>
      </c>
      <c r="K7" t="s">
        <v>48</v>
      </c>
      <c r="L7">
        <v>231</v>
      </c>
      <c r="M7">
        <v>220</v>
      </c>
      <c r="N7">
        <v>229</v>
      </c>
      <c r="O7" t="s">
        <v>105</v>
      </c>
      <c r="P7" t="s">
        <v>106</v>
      </c>
      <c r="Q7" t="s">
        <v>107</v>
      </c>
      <c r="R7">
        <v>2024</v>
      </c>
      <c r="S7" t="s">
        <v>65</v>
      </c>
      <c r="T7" t="s">
        <v>66</v>
      </c>
      <c r="U7" s="8">
        <v>45334.572002314817</v>
      </c>
      <c r="V7" s="2" t="s">
        <v>108</v>
      </c>
      <c r="X7" t="s">
        <v>55</v>
      </c>
      <c r="Y7" t="s">
        <v>56</v>
      </c>
      <c r="Z7" t="s">
        <v>68</v>
      </c>
      <c r="AA7">
        <v>8131286</v>
      </c>
      <c r="AB7" t="s">
        <v>109</v>
      </c>
      <c r="AC7">
        <v>8</v>
      </c>
      <c r="AJ7" s="11" t="str">
        <f t="shared" si="0"/>
        <v>Sin respuesta</v>
      </c>
      <c r="AK7" s="12" t="str">
        <f t="shared" si="1"/>
        <v>Sin respuesta</v>
      </c>
      <c r="AP7"/>
    </row>
    <row r="8" spans="1:43" ht="45" hidden="1">
      <c r="B8">
        <v>2</v>
      </c>
      <c r="C8">
        <v>1038335545</v>
      </c>
      <c r="D8" t="s">
        <v>110</v>
      </c>
      <c r="E8" t="s">
        <v>110</v>
      </c>
      <c r="F8">
        <v>8431262</v>
      </c>
      <c r="G8" t="s">
        <v>111</v>
      </c>
      <c r="H8" t="s">
        <v>112</v>
      </c>
      <c r="I8" t="s">
        <v>113</v>
      </c>
      <c r="J8" t="s">
        <v>114</v>
      </c>
      <c r="K8" t="s">
        <v>48</v>
      </c>
      <c r="L8">
        <v>227</v>
      </c>
      <c r="M8">
        <v>210</v>
      </c>
      <c r="N8">
        <v>225</v>
      </c>
      <c r="O8" t="s">
        <v>49</v>
      </c>
      <c r="P8" t="s">
        <v>63</v>
      </c>
      <c r="Q8" t="s">
        <v>115</v>
      </c>
      <c r="R8">
        <v>2024</v>
      </c>
      <c r="S8" t="s">
        <v>52</v>
      </c>
      <c r="T8" t="s">
        <v>116</v>
      </c>
      <c r="U8" s="8">
        <v>45338.517581018517</v>
      </c>
      <c r="V8" s="2" t="s">
        <v>117</v>
      </c>
      <c r="X8" t="s">
        <v>55</v>
      </c>
      <c r="Y8" t="s">
        <v>56</v>
      </c>
      <c r="Z8" t="s">
        <v>68</v>
      </c>
      <c r="AA8">
        <v>3122834435</v>
      </c>
      <c r="AB8" t="s">
        <v>118</v>
      </c>
      <c r="AC8">
        <v>3</v>
      </c>
      <c r="AJ8" s="9" t="str">
        <f t="shared" si="0"/>
        <v>Sin respuesta</v>
      </c>
      <c r="AK8" s="10" t="str">
        <f t="shared" si="1"/>
        <v>Sin respuesta</v>
      </c>
      <c r="AP8"/>
    </row>
    <row r="9" spans="1:43" ht="45" hidden="1">
      <c r="B9">
        <v>2</v>
      </c>
      <c r="C9">
        <v>830141255</v>
      </c>
      <c r="D9" t="s">
        <v>119</v>
      </c>
      <c r="E9" t="s">
        <v>120</v>
      </c>
      <c r="F9">
        <v>830141255</v>
      </c>
      <c r="G9" t="s">
        <v>121</v>
      </c>
      <c r="H9" t="s">
        <v>122</v>
      </c>
      <c r="I9" t="s">
        <v>104</v>
      </c>
      <c r="J9" t="s">
        <v>47</v>
      </c>
      <c r="K9" t="s">
        <v>48</v>
      </c>
      <c r="L9">
        <v>227</v>
      </c>
      <c r="M9">
        <v>209</v>
      </c>
      <c r="N9">
        <v>225</v>
      </c>
      <c r="O9" t="s">
        <v>49</v>
      </c>
      <c r="P9" t="s">
        <v>106</v>
      </c>
      <c r="Q9" t="s">
        <v>123</v>
      </c>
      <c r="R9">
        <v>2024</v>
      </c>
      <c r="S9" t="s">
        <v>124</v>
      </c>
      <c r="T9" t="s">
        <v>125</v>
      </c>
      <c r="U9" s="8">
        <v>45338.545034722221</v>
      </c>
      <c r="V9" s="2" t="s">
        <v>126</v>
      </c>
      <c r="X9" t="s">
        <v>55</v>
      </c>
      <c r="Y9" t="s">
        <v>56</v>
      </c>
      <c r="Z9" t="s">
        <v>68</v>
      </c>
      <c r="AA9">
        <v>2059250</v>
      </c>
      <c r="AB9" t="s">
        <v>127</v>
      </c>
      <c r="AC9">
        <v>3</v>
      </c>
      <c r="AJ9" s="9" t="str">
        <f t="shared" si="0"/>
        <v>Sin respuesta</v>
      </c>
      <c r="AK9" s="10" t="str">
        <f t="shared" si="1"/>
        <v>Sin respuesta</v>
      </c>
      <c r="AP9"/>
    </row>
    <row r="10" spans="1:43" ht="45" hidden="1">
      <c r="B10">
        <v>2</v>
      </c>
      <c r="C10">
        <v>901236453</v>
      </c>
      <c r="D10" t="s">
        <v>128</v>
      </c>
      <c r="E10" t="s">
        <v>128</v>
      </c>
      <c r="F10">
        <v>901236453</v>
      </c>
      <c r="G10" t="s">
        <v>82</v>
      </c>
      <c r="H10" t="s">
        <v>129</v>
      </c>
      <c r="I10" t="s">
        <v>130</v>
      </c>
      <c r="J10" t="s">
        <v>114</v>
      </c>
      <c r="K10" t="s">
        <v>48</v>
      </c>
      <c r="L10">
        <v>227</v>
      </c>
      <c r="M10">
        <v>209</v>
      </c>
      <c r="N10">
        <v>225</v>
      </c>
      <c r="O10" t="s">
        <v>49</v>
      </c>
      <c r="P10" t="s">
        <v>131</v>
      </c>
      <c r="Q10" t="s">
        <v>132</v>
      </c>
      <c r="R10">
        <v>2024</v>
      </c>
      <c r="S10" t="s">
        <v>52</v>
      </c>
      <c r="T10" t="s">
        <v>116</v>
      </c>
      <c r="U10" s="8">
        <v>45338.564062500001</v>
      </c>
      <c r="V10" s="2" t="s">
        <v>133</v>
      </c>
      <c r="X10" t="s">
        <v>55</v>
      </c>
      <c r="Y10" t="s">
        <v>56</v>
      </c>
      <c r="Z10" t="s">
        <v>68</v>
      </c>
      <c r="AA10">
        <v>8262051</v>
      </c>
      <c r="AB10" t="s">
        <v>134</v>
      </c>
      <c r="AC10">
        <v>3</v>
      </c>
      <c r="AJ10" s="9" t="str">
        <f t="shared" si="0"/>
        <v>Sin respuesta</v>
      </c>
      <c r="AK10" s="10" t="str">
        <f t="shared" si="1"/>
        <v>Sin respuesta</v>
      </c>
      <c r="AP10"/>
    </row>
    <row r="11" spans="1:43" ht="45" hidden="1">
      <c r="B11">
        <v>2</v>
      </c>
      <c r="C11">
        <v>900488078</v>
      </c>
      <c r="D11" t="s">
        <v>135</v>
      </c>
      <c r="E11" t="s">
        <v>136</v>
      </c>
      <c r="F11">
        <v>8431262</v>
      </c>
      <c r="G11" t="s">
        <v>111</v>
      </c>
      <c r="H11" t="s">
        <v>137</v>
      </c>
      <c r="I11" t="s">
        <v>138</v>
      </c>
      <c r="J11" t="s">
        <v>114</v>
      </c>
      <c r="K11" t="s">
        <v>48</v>
      </c>
      <c r="L11">
        <v>227</v>
      </c>
      <c r="M11">
        <v>172</v>
      </c>
      <c r="N11">
        <v>225</v>
      </c>
      <c r="O11" t="s">
        <v>48</v>
      </c>
      <c r="P11" t="s">
        <v>63</v>
      </c>
      <c r="Q11" t="s">
        <v>139</v>
      </c>
      <c r="R11">
        <v>2024</v>
      </c>
      <c r="S11" t="s">
        <v>65</v>
      </c>
      <c r="T11" t="s">
        <v>140</v>
      </c>
      <c r="U11" s="8">
        <v>45338.622835648152</v>
      </c>
      <c r="V11" s="2" t="s">
        <v>141</v>
      </c>
      <c r="X11" t="s">
        <v>55</v>
      </c>
      <c r="Y11" t="s">
        <v>56</v>
      </c>
      <c r="Z11" t="s">
        <v>68</v>
      </c>
      <c r="AA11">
        <v>8280513</v>
      </c>
      <c r="AB11" t="s">
        <v>142</v>
      </c>
      <c r="AC11">
        <v>2</v>
      </c>
      <c r="AJ11" s="9" t="str">
        <f t="shared" si="0"/>
        <v>Sin respuesta</v>
      </c>
      <c r="AK11" s="10" t="str">
        <f t="shared" si="1"/>
        <v>Sin respuesta</v>
      </c>
      <c r="AP11"/>
    </row>
    <row r="12" spans="1:43" ht="75" hidden="1">
      <c r="B12">
        <v>2</v>
      </c>
      <c r="C12">
        <v>901218867</v>
      </c>
      <c r="D12" t="s">
        <v>143</v>
      </c>
      <c r="E12" t="s">
        <v>144</v>
      </c>
      <c r="F12">
        <v>71744457</v>
      </c>
      <c r="G12" t="s">
        <v>145</v>
      </c>
      <c r="H12" t="s">
        <v>146</v>
      </c>
      <c r="I12" t="s">
        <v>46</v>
      </c>
      <c r="J12" t="s">
        <v>47</v>
      </c>
      <c r="K12" t="s">
        <v>48</v>
      </c>
      <c r="L12">
        <v>227</v>
      </c>
      <c r="M12">
        <v>209</v>
      </c>
      <c r="N12">
        <v>225</v>
      </c>
      <c r="O12" t="s">
        <v>49</v>
      </c>
      <c r="P12" t="s">
        <v>50</v>
      </c>
      <c r="Q12" t="s">
        <v>147</v>
      </c>
      <c r="R12">
        <v>2024</v>
      </c>
      <c r="S12" t="s">
        <v>65</v>
      </c>
      <c r="T12" t="s">
        <v>148</v>
      </c>
      <c r="U12" s="8">
        <v>45338.638414351852</v>
      </c>
      <c r="V12" s="2" t="s">
        <v>149</v>
      </c>
      <c r="X12" t="s">
        <v>55</v>
      </c>
      <c r="Y12" t="s">
        <v>56</v>
      </c>
      <c r="Z12" t="s">
        <v>68</v>
      </c>
      <c r="AA12">
        <v>5120323</v>
      </c>
      <c r="AB12" t="s">
        <v>150</v>
      </c>
      <c r="AC12">
        <v>3</v>
      </c>
      <c r="AJ12" s="9" t="str">
        <f t="shared" si="0"/>
        <v>Sin respuesta</v>
      </c>
      <c r="AK12" s="10" t="str">
        <f t="shared" si="1"/>
        <v>Sin respuesta</v>
      </c>
      <c r="AP12"/>
    </row>
    <row r="13" spans="1:43" ht="45" hidden="1">
      <c r="B13">
        <v>2</v>
      </c>
      <c r="C13">
        <v>900224771</v>
      </c>
      <c r="D13" t="s">
        <v>151</v>
      </c>
      <c r="E13" t="s">
        <v>151</v>
      </c>
      <c r="F13">
        <v>900224771</v>
      </c>
      <c r="G13" t="s">
        <v>152</v>
      </c>
      <c r="H13" t="s">
        <v>153</v>
      </c>
      <c r="I13" t="s">
        <v>46</v>
      </c>
      <c r="J13" t="s">
        <v>114</v>
      </c>
      <c r="K13" t="s">
        <v>48</v>
      </c>
      <c r="L13">
        <v>227</v>
      </c>
      <c r="M13">
        <v>209</v>
      </c>
      <c r="N13">
        <v>225</v>
      </c>
      <c r="O13" t="s">
        <v>49</v>
      </c>
      <c r="P13" t="s">
        <v>50</v>
      </c>
      <c r="Q13" t="s">
        <v>154</v>
      </c>
      <c r="R13">
        <v>2024</v>
      </c>
      <c r="S13" t="s">
        <v>52</v>
      </c>
      <c r="T13" t="s">
        <v>116</v>
      </c>
      <c r="U13" s="8">
        <v>45338.645254629628</v>
      </c>
      <c r="V13" s="2" t="s">
        <v>155</v>
      </c>
      <c r="X13" t="s">
        <v>55</v>
      </c>
      <c r="Y13" t="s">
        <v>56</v>
      </c>
      <c r="Z13" t="s">
        <v>68</v>
      </c>
      <c r="AA13">
        <v>3092142</v>
      </c>
      <c r="AB13" t="s">
        <v>156</v>
      </c>
      <c r="AC13">
        <v>3</v>
      </c>
      <c r="AJ13" s="9" t="str">
        <f t="shared" si="0"/>
        <v>Sin respuesta</v>
      </c>
      <c r="AK13" s="10" t="str">
        <f t="shared" si="1"/>
        <v>Sin respuesta</v>
      </c>
      <c r="AP13"/>
    </row>
    <row r="14" spans="1:43" ht="30" hidden="1">
      <c r="B14">
        <v>2</v>
      </c>
      <c r="C14">
        <v>811003279</v>
      </c>
      <c r="D14" t="s">
        <v>157</v>
      </c>
      <c r="E14" t="s">
        <v>158</v>
      </c>
      <c r="F14">
        <v>71691849</v>
      </c>
      <c r="G14" t="s">
        <v>94</v>
      </c>
      <c r="H14" t="s">
        <v>159</v>
      </c>
      <c r="I14" t="s">
        <v>160</v>
      </c>
      <c r="J14" t="s">
        <v>114</v>
      </c>
      <c r="K14" t="s">
        <v>48</v>
      </c>
      <c r="L14">
        <v>227</v>
      </c>
      <c r="M14">
        <v>220</v>
      </c>
      <c r="N14">
        <v>225</v>
      </c>
      <c r="O14" t="s">
        <v>105</v>
      </c>
      <c r="P14" t="s">
        <v>63</v>
      </c>
      <c r="Q14" t="s">
        <v>161</v>
      </c>
      <c r="R14">
        <v>2024</v>
      </c>
      <c r="S14" t="s">
        <v>124</v>
      </c>
      <c r="T14" t="s">
        <v>162</v>
      </c>
      <c r="U14" s="8">
        <v>45338.696759259263</v>
      </c>
      <c r="V14" s="2" t="s">
        <v>163</v>
      </c>
      <c r="X14" t="s">
        <v>55</v>
      </c>
      <c r="Y14" t="s">
        <v>56</v>
      </c>
      <c r="Z14" t="s">
        <v>68</v>
      </c>
      <c r="AA14">
        <v>2851608</v>
      </c>
      <c r="AB14" t="s">
        <v>164</v>
      </c>
      <c r="AC14">
        <v>8</v>
      </c>
      <c r="AJ14" s="11" t="str">
        <f t="shared" si="0"/>
        <v>Sin respuesta</v>
      </c>
      <c r="AK14" s="12" t="str">
        <f t="shared" si="1"/>
        <v>Sin respuesta</v>
      </c>
      <c r="AP14"/>
    </row>
    <row r="15" spans="1:43" ht="45" hidden="1">
      <c r="B15">
        <v>2</v>
      </c>
      <c r="C15">
        <v>901444226</v>
      </c>
      <c r="D15" t="s">
        <v>59</v>
      </c>
      <c r="E15" t="s">
        <v>59</v>
      </c>
      <c r="F15">
        <v>71635652</v>
      </c>
      <c r="G15" t="s">
        <v>165</v>
      </c>
      <c r="H15" t="s">
        <v>60</v>
      </c>
      <c r="I15" t="s">
        <v>61</v>
      </c>
      <c r="J15" t="s">
        <v>114</v>
      </c>
      <c r="K15" t="s">
        <v>48</v>
      </c>
      <c r="L15">
        <v>222</v>
      </c>
      <c r="M15">
        <v>172</v>
      </c>
      <c r="N15">
        <v>220</v>
      </c>
      <c r="O15" t="s">
        <v>48</v>
      </c>
      <c r="P15" t="s">
        <v>63</v>
      </c>
      <c r="Q15" t="s">
        <v>166</v>
      </c>
      <c r="R15">
        <v>2024</v>
      </c>
      <c r="S15" t="s">
        <v>65</v>
      </c>
      <c r="T15" t="s">
        <v>77</v>
      </c>
      <c r="U15" s="8">
        <v>45343.67087962963</v>
      </c>
      <c r="V15" s="2" t="s">
        <v>167</v>
      </c>
      <c r="X15" t="s">
        <v>55</v>
      </c>
      <c r="Y15" t="s">
        <v>56</v>
      </c>
      <c r="Z15" t="s">
        <v>68</v>
      </c>
      <c r="AA15">
        <v>8390988</v>
      </c>
      <c r="AB15" t="s">
        <v>69</v>
      </c>
      <c r="AC15">
        <v>2</v>
      </c>
      <c r="AJ15" s="9" t="str">
        <f t="shared" si="0"/>
        <v>Sin respuesta</v>
      </c>
      <c r="AK15" s="10" t="str">
        <f t="shared" si="1"/>
        <v>Sin respuesta</v>
      </c>
      <c r="AP15"/>
    </row>
    <row r="16" spans="1:43" ht="45" hidden="1">
      <c r="B16">
        <v>2</v>
      </c>
      <c r="C16">
        <v>71117644</v>
      </c>
      <c r="D16" t="s">
        <v>168</v>
      </c>
      <c r="E16" t="s">
        <v>168</v>
      </c>
      <c r="F16">
        <v>71117644</v>
      </c>
      <c r="G16" t="s">
        <v>169</v>
      </c>
      <c r="H16" t="s">
        <v>170</v>
      </c>
      <c r="I16" t="s">
        <v>171</v>
      </c>
      <c r="J16" t="s">
        <v>47</v>
      </c>
      <c r="K16" t="s">
        <v>48</v>
      </c>
      <c r="L16">
        <v>222</v>
      </c>
      <c r="M16">
        <v>222</v>
      </c>
      <c r="N16">
        <v>220</v>
      </c>
      <c r="O16" t="s">
        <v>48</v>
      </c>
      <c r="P16" t="s">
        <v>63</v>
      </c>
      <c r="Q16" t="s">
        <v>172</v>
      </c>
      <c r="R16">
        <v>2024</v>
      </c>
      <c r="S16" t="s">
        <v>65</v>
      </c>
      <c r="T16" t="s">
        <v>77</v>
      </c>
      <c r="U16" s="8">
        <v>45343.678206018521</v>
      </c>
      <c r="V16" s="2" t="s">
        <v>173</v>
      </c>
      <c r="X16" t="s">
        <v>55</v>
      </c>
      <c r="Y16" t="s">
        <v>56</v>
      </c>
      <c r="Z16" t="s">
        <v>68</v>
      </c>
      <c r="AA16">
        <v>5636831</v>
      </c>
      <c r="AB16" t="s">
        <v>174</v>
      </c>
      <c r="AC16">
        <v>2</v>
      </c>
      <c r="AJ16" s="9" t="str">
        <f t="shared" si="0"/>
        <v>Sin respuesta</v>
      </c>
      <c r="AK16" s="10" t="str">
        <f t="shared" si="1"/>
        <v>Sin respuesta</v>
      </c>
      <c r="AP16"/>
    </row>
    <row r="17" spans="2:42" ht="45" hidden="1">
      <c r="B17">
        <v>2</v>
      </c>
      <c r="C17">
        <v>13890896</v>
      </c>
      <c r="D17" t="s">
        <v>175</v>
      </c>
      <c r="E17" t="s">
        <v>176</v>
      </c>
      <c r="F17">
        <v>13890896</v>
      </c>
      <c r="G17" t="s">
        <v>177</v>
      </c>
      <c r="H17" t="s">
        <v>178</v>
      </c>
      <c r="I17" t="s">
        <v>179</v>
      </c>
      <c r="J17" t="s">
        <v>47</v>
      </c>
      <c r="K17" t="s">
        <v>48</v>
      </c>
      <c r="L17">
        <v>222</v>
      </c>
      <c r="M17">
        <v>209</v>
      </c>
      <c r="N17">
        <v>220</v>
      </c>
      <c r="O17" t="s">
        <v>49</v>
      </c>
      <c r="P17" t="s">
        <v>180</v>
      </c>
      <c r="Q17" t="s">
        <v>181</v>
      </c>
      <c r="R17">
        <v>2024</v>
      </c>
      <c r="S17" t="s">
        <v>65</v>
      </c>
      <c r="T17" t="s">
        <v>77</v>
      </c>
      <c r="U17" s="8">
        <v>45343.684849537036</v>
      </c>
      <c r="V17" s="2" t="s">
        <v>182</v>
      </c>
      <c r="X17" t="s">
        <v>55</v>
      </c>
      <c r="Y17" t="s">
        <v>56</v>
      </c>
      <c r="Z17" t="s">
        <v>68</v>
      </c>
      <c r="AA17">
        <v>6076214404</v>
      </c>
      <c r="AB17" t="s">
        <v>183</v>
      </c>
      <c r="AC17">
        <v>3</v>
      </c>
      <c r="AJ17" s="9" t="str">
        <f t="shared" si="0"/>
        <v>Sin respuesta</v>
      </c>
      <c r="AK17" s="10" t="str">
        <f t="shared" si="1"/>
        <v>Sin respuesta</v>
      </c>
      <c r="AP17"/>
    </row>
    <row r="18" spans="2:42" ht="45" hidden="1">
      <c r="B18">
        <v>2</v>
      </c>
      <c r="C18">
        <v>806005423</v>
      </c>
      <c r="D18" t="s">
        <v>184</v>
      </c>
      <c r="E18" t="s">
        <v>184</v>
      </c>
      <c r="F18">
        <v>55227815</v>
      </c>
      <c r="G18" t="s">
        <v>185</v>
      </c>
      <c r="H18" t="s">
        <v>186</v>
      </c>
      <c r="I18" t="s">
        <v>187</v>
      </c>
      <c r="J18" t="s">
        <v>47</v>
      </c>
      <c r="K18" t="s">
        <v>48</v>
      </c>
      <c r="L18">
        <v>221</v>
      </c>
      <c r="M18">
        <v>221</v>
      </c>
      <c r="N18">
        <v>219</v>
      </c>
      <c r="O18" t="s">
        <v>48</v>
      </c>
      <c r="P18" t="s">
        <v>188</v>
      </c>
      <c r="Q18" t="s">
        <v>189</v>
      </c>
      <c r="R18">
        <v>2024</v>
      </c>
      <c r="S18" t="s">
        <v>190</v>
      </c>
      <c r="T18" t="s">
        <v>191</v>
      </c>
      <c r="U18" s="8">
        <v>45344.344780092593</v>
      </c>
      <c r="V18" s="2" t="s">
        <v>192</v>
      </c>
      <c r="X18" t="s">
        <v>55</v>
      </c>
      <c r="Y18" t="s">
        <v>56</v>
      </c>
      <c r="Z18" t="s">
        <v>68</v>
      </c>
      <c r="AA18">
        <v>6633029</v>
      </c>
      <c r="AB18" t="s">
        <v>193</v>
      </c>
      <c r="AC18">
        <v>2</v>
      </c>
      <c r="AJ18" s="9" t="str">
        <f t="shared" si="0"/>
        <v>Sin respuesta</v>
      </c>
      <c r="AK18" s="10" t="str">
        <f t="shared" si="1"/>
        <v>Sin respuesta</v>
      </c>
      <c r="AP18"/>
    </row>
    <row r="19" spans="2:42" ht="45" hidden="1">
      <c r="B19">
        <v>2</v>
      </c>
      <c r="C19">
        <v>891702257</v>
      </c>
      <c r="D19" t="s">
        <v>194</v>
      </c>
      <c r="E19" t="s">
        <v>194</v>
      </c>
      <c r="F19">
        <v>891702257</v>
      </c>
      <c r="G19" t="s">
        <v>195</v>
      </c>
      <c r="H19" t="s">
        <v>196</v>
      </c>
      <c r="I19" t="s">
        <v>197</v>
      </c>
      <c r="J19" t="s">
        <v>47</v>
      </c>
      <c r="K19" t="s">
        <v>48</v>
      </c>
      <c r="L19">
        <v>221</v>
      </c>
      <c r="M19">
        <v>221</v>
      </c>
      <c r="N19">
        <v>219</v>
      </c>
      <c r="O19" t="s">
        <v>48</v>
      </c>
      <c r="P19" t="s">
        <v>198</v>
      </c>
      <c r="Q19" t="s">
        <v>199</v>
      </c>
      <c r="R19">
        <v>2024</v>
      </c>
      <c r="S19" t="s">
        <v>65</v>
      </c>
      <c r="T19" t="s">
        <v>77</v>
      </c>
      <c r="U19" s="8">
        <v>45344.524398148147</v>
      </c>
      <c r="V19" s="2" t="s">
        <v>200</v>
      </c>
      <c r="X19" t="s">
        <v>55</v>
      </c>
      <c r="Y19" t="s">
        <v>56</v>
      </c>
      <c r="Z19" t="s">
        <v>68</v>
      </c>
      <c r="AA19">
        <v>4212252</v>
      </c>
      <c r="AB19" t="s">
        <v>201</v>
      </c>
      <c r="AC19">
        <v>2</v>
      </c>
      <c r="AJ19" s="9" t="str">
        <f t="shared" si="0"/>
        <v>Sin respuesta</v>
      </c>
      <c r="AK19" s="10" t="str">
        <f t="shared" si="1"/>
        <v>Sin respuesta</v>
      </c>
      <c r="AP19"/>
    </row>
    <row r="20" spans="2:42" ht="75" hidden="1">
      <c r="B20">
        <v>4</v>
      </c>
      <c r="C20">
        <v>811013831</v>
      </c>
      <c r="D20" t="s">
        <v>202</v>
      </c>
      <c r="E20" t="s">
        <v>202</v>
      </c>
      <c r="F20">
        <v>811013831</v>
      </c>
      <c r="G20" t="s">
        <v>202</v>
      </c>
      <c r="H20" t="s">
        <v>203</v>
      </c>
      <c r="I20" t="s">
        <v>204</v>
      </c>
      <c r="J20" t="s">
        <v>47</v>
      </c>
      <c r="K20" t="s">
        <v>48</v>
      </c>
      <c r="L20">
        <v>182</v>
      </c>
      <c r="M20">
        <v>179</v>
      </c>
      <c r="N20">
        <v>180</v>
      </c>
      <c r="O20" t="s">
        <v>105</v>
      </c>
      <c r="P20" t="s">
        <v>63</v>
      </c>
      <c r="Q20" t="s">
        <v>205</v>
      </c>
      <c r="R20">
        <v>2024</v>
      </c>
      <c r="S20" t="s">
        <v>65</v>
      </c>
      <c r="T20" t="s">
        <v>66</v>
      </c>
      <c r="U20" s="8">
        <v>45383.34039351852</v>
      </c>
      <c r="V20" s="2" t="s">
        <v>206</v>
      </c>
      <c r="X20" t="s">
        <v>55</v>
      </c>
      <c r="Y20" t="s">
        <v>56</v>
      </c>
      <c r="Z20" t="s">
        <v>57</v>
      </c>
      <c r="AA20">
        <v>5312131</v>
      </c>
      <c r="AB20" t="s">
        <v>207</v>
      </c>
      <c r="AC20">
        <v>8</v>
      </c>
      <c r="AJ20" s="11" t="str">
        <f t="shared" si="0"/>
        <v>Sin respuesta</v>
      </c>
      <c r="AK20" s="12" t="str">
        <f t="shared" si="1"/>
        <v>Sin respuesta</v>
      </c>
      <c r="AP20"/>
    </row>
    <row r="21" spans="2:42" ht="45" hidden="1">
      <c r="B21">
        <v>2</v>
      </c>
      <c r="C21">
        <v>890937010</v>
      </c>
      <c r="D21" t="s">
        <v>208</v>
      </c>
      <c r="E21" t="s">
        <v>208</v>
      </c>
      <c r="F21">
        <v>890937010</v>
      </c>
      <c r="G21" t="s">
        <v>209</v>
      </c>
      <c r="H21" t="s">
        <v>210</v>
      </c>
      <c r="I21" t="s">
        <v>211</v>
      </c>
      <c r="J21" t="s">
        <v>47</v>
      </c>
      <c r="K21" t="s">
        <v>48</v>
      </c>
      <c r="L21">
        <v>220</v>
      </c>
      <c r="M21">
        <v>209</v>
      </c>
      <c r="N21">
        <v>218</v>
      </c>
      <c r="O21" t="s">
        <v>49</v>
      </c>
      <c r="P21" t="s">
        <v>63</v>
      </c>
      <c r="Q21" t="s">
        <v>212</v>
      </c>
      <c r="R21">
        <v>2024</v>
      </c>
      <c r="S21" t="s">
        <v>65</v>
      </c>
      <c r="T21" t="s">
        <v>77</v>
      </c>
      <c r="U21" s="8">
        <v>45345.539409722223</v>
      </c>
      <c r="V21" s="2" t="s">
        <v>213</v>
      </c>
      <c r="X21" t="s">
        <v>55</v>
      </c>
      <c r="Y21" t="s">
        <v>56</v>
      </c>
      <c r="Z21" t="s">
        <v>68</v>
      </c>
      <c r="AA21">
        <v>4442388</v>
      </c>
      <c r="AB21" t="s">
        <v>214</v>
      </c>
      <c r="AC21">
        <v>3</v>
      </c>
      <c r="AJ21" s="9" t="str">
        <f t="shared" si="0"/>
        <v>Sin respuesta</v>
      </c>
      <c r="AK21" s="10" t="str">
        <f t="shared" si="1"/>
        <v>Sin respuesta</v>
      </c>
      <c r="AP21"/>
    </row>
    <row r="22" spans="2:42" ht="45" hidden="1">
      <c r="B22">
        <v>2</v>
      </c>
      <c r="C22">
        <v>900252652</v>
      </c>
      <c r="D22" t="s">
        <v>215</v>
      </c>
      <c r="E22" t="s">
        <v>216</v>
      </c>
      <c r="F22">
        <v>900252652</v>
      </c>
      <c r="G22" t="s">
        <v>217</v>
      </c>
      <c r="H22" t="s">
        <v>218</v>
      </c>
      <c r="I22" t="s">
        <v>219</v>
      </c>
      <c r="J22" t="s">
        <v>47</v>
      </c>
      <c r="K22" t="s">
        <v>48</v>
      </c>
      <c r="L22">
        <v>220</v>
      </c>
      <c r="M22">
        <v>166</v>
      </c>
      <c r="N22">
        <v>218</v>
      </c>
      <c r="O22" t="s">
        <v>49</v>
      </c>
      <c r="P22" t="s">
        <v>220</v>
      </c>
      <c r="Q22" t="s">
        <v>221</v>
      </c>
      <c r="R22">
        <v>2024</v>
      </c>
      <c r="S22" t="s">
        <v>65</v>
      </c>
      <c r="T22" t="s">
        <v>77</v>
      </c>
      <c r="U22" s="8">
        <v>45345.545231481483</v>
      </c>
      <c r="V22" s="2" t="s">
        <v>222</v>
      </c>
      <c r="X22" t="s">
        <v>55</v>
      </c>
      <c r="Y22" t="s">
        <v>56</v>
      </c>
      <c r="Z22" t="s">
        <v>68</v>
      </c>
      <c r="AA22">
        <v>8667438</v>
      </c>
      <c r="AB22" t="s">
        <v>223</v>
      </c>
      <c r="AC22">
        <v>3</v>
      </c>
      <c r="AJ22" s="9" t="str">
        <f t="shared" si="0"/>
        <v>Sin respuesta</v>
      </c>
      <c r="AK22" s="10" t="str">
        <f t="shared" si="1"/>
        <v>Sin respuesta</v>
      </c>
      <c r="AP22"/>
    </row>
    <row r="23" spans="2:42" ht="75" hidden="1">
      <c r="B23">
        <v>2</v>
      </c>
      <c r="C23">
        <v>890800450</v>
      </c>
      <c r="D23" t="s">
        <v>224</v>
      </c>
      <c r="E23" t="s">
        <v>224</v>
      </c>
      <c r="F23">
        <v>890800450</v>
      </c>
      <c r="G23" t="s">
        <v>225</v>
      </c>
      <c r="H23" t="s">
        <v>226</v>
      </c>
      <c r="I23" t="s">
        <v>227</v>
      </c>
      <c r="J23" t="s">
        <v>47</v>
      </c>
      <c r="K23" t="s">
        <v>48</v>
      </c>
      <c r="L23">
        <v>217</v>
      </c>
      <c r="M23">
        <v>209</v>
      </c>
      <c r="N23">
        <v>215</v>
      </c>
      <c r="O23" t="s">
        <v>49</v>
      </c>
      <c r="P23" t="s">
        <v>228</v>
      </c>
      <c r="Q23" t="s">
        <v>229</v>
      </c>
      <c r="R23">
        <v>2024</v>
      </c>
      <c r="S23" t="s">
        <v>124</v>
      </c>
      <c r="T23" t="s">
        <v>230</v>
      </c>
      <c r="U23" s="8">
        <v>45348.340682870374</v>
      </c>
      <c r="V23" s="2" t="s">
        <v>231</v>
      </c>
      <c r="X23" t="s">
        <v>55</v>
      </c>
      <c r="Y23" t="s">
        <v>56</v>
      </c>
      <c r="Z23" t="s">
        <v>68</v>
      </c>
      <c r="AA23">
        <v>8930130</v>
      </c>
      <c r="AB23" t="s">
        <v>232</v>
      </c>
      <c r="AC23">
        <v>3</v>
      </c>
      <c r="AJ23" s="9" t="str">
        <f t="shared" si="0"/>
        <v>Sin respuesta</v>
      </c>
      <c r="AK23" s="10" t="str">
        <f t="shared" si="1"/>
        <v>Sin respuesta</v>
      </c>
      <c r="AP23"/>
    </row>
    <row r="24" spans="2:42" ht="45" hidden="1">
      <c r="B24">
        <v>4</v>
      </c>
      <c r="C24">
        <v>900805118</v>
      </c>
      <c r="D24" t="s">
        <v>233</v>
      </c>
      <c r="E24" t="s">
        <v>233</v>
      </c>
      <c r="F24">
        <v>900805118</v>
      </c>
      <c r="G24" t="s">
        <v>233</v>
      </c>
      <c r="H24" t="s">
        <v>234</v>
      </c>
      <c r="I24" t="s">
        <v>235</v>
      </c>
      <c r="J24" t="s">
        <v>47</v>
      </c>
      <c r="K24" t="s">
        <v>48</v>
      </c>
      <c r="L24">
        <v>182</v>
      </c>
      <c r="M24">
        <v>165</v>
      </c>
      <c r="N24">
        <v>180</v>
      </c>
      <c r="O24" t="s">
        <v>105</v>
      </c>
      <c r="P24" t="s">
        <v>236</v>
      </c>
      <c r="Q24" t="s">
        <v>237</v>
      </c>
      <c r="R24">
        <v>2024</v>
      </c>
      <c r="S24" t="s">
        <v>65</v>
      </c>
      <c r="T24" t="s">
        <v>66</v>
      </c>
      <c r="U24" s="8">
        <v>45383.338854166665</v>
      </c>
      <c r="V24" s="2" t="s">
        <v>238</v>
      </c>
      <c r="X24" t="s">
        <v>55</v>
      </c>
      <c r="Y24" t="s">
        <v>56</v>
      </c>
      <c r="Z24" t="s">
        <v>57</v>
      </c>
      <c r="AA24">
        <v>3217656942</v>
      </c>
      <c r="AB24" t="s">
        <v>239</v>
      </c>
      <c r="AC24">
        <v>8</v>
      </c>
      <c r="AJ24" s="11" t="str">
        <f t="shared" si="0"/>
        <v>Sin respuesta</v>
      </c>
      <c r="AK24" s="12" t="str">
        <f t="shared" si="1"/>
        <v>Sin respuesta</v>
      </c>
      <c r="AP24"/>
    </row>
    <row r="25" spans="2:42" ht="60" hidden="1">
      <c r="B25">
        <v>2</v>
      </c>
      <c r="C25">
        <v>800093859</v>
      </c>
      <c r="D25" t="s">
        <v>240</v>
      </c>
      <c r="E25" t="s">
        <v>240</v>
      </c>
      <c r="F25">
        <v>4168751</v>
      </c>
      <c r="G25" t="s">
        <v>241</v>
      </c>
      <c r="H25" t="s">
        <v>242</v>
      </c>
      <c r="I25" t="s">
        <v>104</v>
      </c>
      <c r="J25" t="s">
        <v>243</v>
      </c>
      <c r="K25" t="s">
        <v>48</v>
      </c>
      <c r="L25">
        <v>217</v>
      </c>
      <c r="M25">
        <v>171</v>
      </c>
      <c r="N25">
        <v>215</v>
      </c>
      <c r="O25" t="s">
        <v>62</v>
      </c>
      <c r="P25" t="s">
        <v>106</v>
      </c>
      <c r="Q25" t="s">
        <v>244</v>
      </c>
      <c r="R25">
        <v>2024</v>
      </c>
      <c r="S25" t="s">
        <v>65</v>
      </c>
      <c r="T25" t="s">
        <v>66</v>
      </c>
      <c r="U25" s="8">
        <v>45348.670254629629</v>
      </c>
      <c r="V25" s="2" t="s">
        <v>245</v>
      </c>
      <c r="X25" t="s">
        <v>55</v>
      </c>
      <c r="Y25" t="s">
        <v>56</v>
      </c>
      <c r="Z25" t="s">
        <v>246</v>
      </c>
      <c r="AA25">
        <v>2829279</v>
      </c>
      <c r="AB25" t="s">
        <v>247</v>
      </c>
      <c r="AC25">
        <v>6</v>
      </c>
      <c r="AD25" s="2" t="s">
        <v>91</v>
      </c>
      <c r="AJ25" s="11" t="str">
        <f t="shared" si="0"/>
        <v>Sin respuesta</v>
      </c>
      <c r="AK25" s="12" t="str">
        <f t="shared" si="1"/>
        <v>Sin respuesta</v>
      </c>
      <c r="AP25"/>
    </row>
    <row r="26" spans="2:42" ht="45" hidden="1">
      <c r="B26">
        <v>2</v>
      </c>
      <c r="C26">
        <v>900142782</v>
      </c>
      <c r="D26" t="s">
        <v>248</v>
      </c>
      <c r="E26" t="s">
        <v>248</v>
      </c>
      <c r="F26">
        <v>900142782</v>
      </c>
      <c r="G26" t="s">
        <v>249</v>
      </c>
      <c r="H26" t="s">
        <v>250</v>
      </c>
      <c r="I26" t="s">
        <v>251</v>
      </c>
      <c r="J26" t="s">
        <v>47</v>
      </c>
      <c r="K26" t="s">
        <v>48</v>
      </c>
      <c r="L26">
        <v>217</v>
      </c>
      <c r="M26">
        <v>217</v>
      </c>
      <c r="N26">
        <v>215</v>
      </c>
      <c r="O26" t="s">
        <v>48</v>
      </c>
      <c r="P26" t="s">
        <v>63</v>
      </c>
      <c r="Q26" t="s">
        <v>252</v>
      </c>
      <c r="R26">
        <v>2024</v>
      </c>
      <c r="S26" t="s">
        <v>65</v>
      </c>
      <c r="T26" t="s">
        <v>77</v>
      </c>
      <c r="U26" s="8">
        <v>45348.709409722222</v>
      </c>
      <c r="V26" s="2" t="s">
        <v>253</v>
      </c>
      <c r="X26" t="s">
        <v>55</v>
      </c>
      <c r="Y26" t="s">
        <v>56</v>
      </c>
      <c r="Z26" t="s">
        <v>246</v>
      </c>
      <c r="AA26">
        <v>2762563</v>
      </c>
      <c r="AB26" t="s">
        <v>254</v>
      </c>
      <c r="AC26">
        <v>2</v>
      </c>
      <c r="AJ26" s="9" t="str">
        <f t="shared" si="0"/>
        <v>Sin respuesta</v>
      </c>
      <c r="AK26" s="10" t="str">
        <f t="shared" si="1"/>
        <v>Sin respuesta</v>
      </c>
      <c r="AP26"/>
    </row>
    <row r="27" spans="2:42" ht="60" hidden="1">
      <c r="B27">
        <v>2</v>
      </c>
      <c r="C27">
        <v>900565617</v>
      </c>
      <c r="D27" t="s">
        <v>255</v>
      </c>
      <c r="E27" t="s">
        <v>255</v>
      </c>
      <c r="F27">
        <v>900565617</v>
      </c>
      <c r="G27" t="s">
        <v>256</v>
      </c>
      <c r="H27" t="s">
        <v>257</v>
      </c>
      <c r="I27" t="s">
        <v>46</v>
      </c>
      <c r="J27" t="s">
        <v>114</v>
      </c>
      <c r="K27" t="s">
        <v>48</v>
      </c>
      <c r="L27">
        <v>216</v>
      </c>
      <c r="M27">
        <v>209</v>
      </c>
      <c r="N27">
        <v>214</v>
      </c>
      <c r="O27" t="s">
        <v>49</v>
      </c>
      <c r="P27" t="s">
        <v>50</v>
      </c>
      <c r="Q27" t="s">
        <v>258</v>
      </c>
      <c r="R27">
        <v>2024</v>
      </c>
      <c r="S27" t="s">
        <v>52</v>
      </c>
      <c r="T27" t="s">
        <v>116</v>
      </c>
      <c r="U27" s="8">
        <v>45349.360474537039</v>
      </c>
      <c r="V27" s="2" t="s">
        <v>259</v>
      </c>
      <c r="X27" t="s">
        <v>55</v>
      </c>
      <c r="Y27" t="s">
        <v>56</v>
      </c>
      <c r="Z27" t="s">
        <v>246</v>
      </c>
      <c r="AA27">
        <v>3654726</v>
      </c>
      <c r="AB27" t="s">
        <v>260</v>
      </c>
      <c r="AC27">
        <v>3</v>
      </c>
      <c r="AJ27" s="9" t="str">
        <f t="shared" si="0"/>
        <v>Sin respuesta</v>
      </c>
      <c r="AK27" s="10" t="str">
        <f t="shared" si="1"/>
        <v>Sin respuesta</v>
      </c>
      <c r="AP27"/>
    </row>
    <row r="28" spans="2:42" ht="75" hidden="1">
      <c r="B28">
        <v>2</v>
      </c>
      <c r="C28">
        <v>890926933</v>
      </c>
      <c r="D28" t="s">
        <v>261</v>
      </c>
      <c r="E28" t="s">
        <v>261</v>
      </c>
      <c r="F28">
        <v>890926933</v>
      </c>
      <c r="G28" t="s">
        <v>262</v>
      </c>
      <c r="H28" t="s">
        <v>263</v>
      </c>
      <c r="I28" t="s">
        <v>264</v>
      </c>
      <c r="J28" t="s">
        <v>47</v>
      </c>
      <c r="K28" t="s">
        <v>48</v>
      </c>
      <c r="L28">
        <v>216</v>
      </c>
      <c r="M28">
        <v>172</v>
      </c>
      <c r="N28">
        <v>214</v>
      </c>
      <c r="O28" t="s">
        <v>48</v>
      </c>
      <c r="P28" t="s">
        <v>265</v>
      </c>
      <c r="Q28" t="s">
        <v>266</v>
      </c>
      <c r="R28">
        <v>2024</v>
      </c>
      <c r="S28" t="s">
        <v>65</v>
      </c>
      <c r="T28" t="s">
        <v>77</v>
      </c>
      <c r="U28" s="8">
        <v>45349.414502314816</v>
      </c>
      <c r="V28" s="2" t="s">
        <v>267</v>
      </c>
      <c r="X28" t="s">
        <v>55</v>
      </c>
      <c r="Y28" t="s">
        <v>56</v>
      </c>
      <c r="Z28" t="s">
        <v>246</v>
      </c>
      <c r="AA28">
        <v>5201120</v>
      </c>
      <c r="AB28" t="s">
        <v>268</v>
      </c>
      <c r="AC28">
        <v>2</v>
      </c>
      <c r="AJ28" s="9" t="str">
        <f t="shared" si="0"/>
        <v>Sin respuesta</v>
      </c>
      <c r="AK28" s="10" t="str">
        <f t="shared" si="1"/>
        <v>Sin respuesta</v>
      </c>
      <c r="AP28"/>
    </row>
    <row r="29" spans="2:42" ht="45" hidden="1">
      <c r="B29">
        <v>2</v>
      </c>
      <c r="C29">
        <v>890912995</v>
      </c>
      <c r="D29" t="s">
        <v>269</v>
      </c>
      <c r="E29" t="s">
        <v>269</v>
      </c>
      <c r="F29">
        <v>71744457</v>
      </c>
      <c r="G29" t="s">
        <v>145</v>
      </c>
      <c r="H29" t="s">
        <v>270</v>
      </c>
      <c r="I29" t="s">
        <v>211</v>
      </c>
      <c r="J29" t="s">
        <v>47</v>
      </c>
      <c r="K29" t="s">
        <v>48</v>
      </c>
      <c r="L29">
        <v>216</v>
      </c>
      <c r="M29">
        <v>216</v>
      </c>
      <c r="N29">
        <v>214</v>
      </c>
      <c r="O29" t="s">
        <v>48</v>
      </c>
      <c r="P29" t="s">
        <v>63</v>
      </c>
      <c r="Q29" t="s">
        <v>271</v>
      </c>
      <c r="R29">
        <v>2024</v>
      </c>
      <c r="S29" t="s">
        <v>190</v>
      </c>
      <c r="T29" t="s">
        <v>272</v>
      </c>
      <c r="U29" s="8">
        <v>45349.457175925927</v>
      </c>
      <c r="V29" s="2" t="s">
        <v>273</v>
      </c>
      <c r="X29" t="s">
        <v>55</v>
      </c>
      <c r="Y29" t="s">
        <v>56</v>
      </c>
      <c r="Z29" t="s">
        <v>246</v>
      </c>
      <c r="AA29">
        <v>3220084</v>
      </c>
      <c r="AB29" t="s">
        <v>274</v>
      </c>
      <c r="AC29">
        <v>2</v>
      </c>
      <c r="AJ29" s="9" t="str">
        <f t="shared" si="0"/>
        <v>Sin respuesta</v>
      </c>
      <c r="AK29" s="10" t="str">
        <f t="shared" si="1"/>
        <v>Sin respuesta</v>
      </c>
      <c r="AP29"/>
    </row>
    <row r="30" spans="2:42" ht="60" hidden="1">
      <c r="B30">
        <v>2</v>
      </c>
      <c r="C30">
        <v>891224259</v>
      </c>
      <c r="D30" t="s">
        <v>275</v>
      </c>
      <c r="E30" t="s">
        <v>275</v>
      </c>
      <c r="F30">
        <v>891224259</v>
      </c>
      <c r="G30" t="s">
        <v>276</v>
      </c>
      <c r="H30" t="s">
        <v>277</v>
      </c>
      <c r="I30" t="s">
        <v>84</v>
      </c>
      <c r="J30" t="s">
        <v>114</v>
      </c>
      <c r="K30" t="s">
        <v>48</v>
      </c>
      <c r="L30">
        <v>216</v>
      </c>
      <c r="M30">
        <v>209</v>
      </c>
      <c r="N30">
        <v>214</v>
      </c>
      <c r="O30" t="s">
        <v>49</v>
      </c>
      <c r="P30" t="s">
        <v>85</v>
      </c>
      <c r="Q30" t="s">
        <v>278</v>
      </c>
      <c r="R30">
        <v>2024</v>
      </c>
      <c r="S30" t="s">
        <v>52</v>
      </c>
      <c r="T30" t="s">
        <v>116</v>
      </c>
      <c r="U30" s="8">
        <v>45349.505358796298</v>
      </c>
      <c r="V30" s="2" t="s">
        <v>279</v>
      </c>
      <c r="X30" t="s">
        <v>55</v>
      </c>
      <c r="Y30" t="s">
        <v>56</v>
      </c>
      <c r="Z30" t="s">
        <v>246</v>
      </c>
      <c r="AA30">
        <v>7215558</v>
      </c>
      <c r="AB30" t="s">
        <v>280</v>
      </c>
      <c r="AC30">
        <v>3</v>
      </c>
      <c r="AJ30" s="9" t="str">
        <f t="shared" si="0"/>
        <v>Sin respuesta</v>
      </c>
      <c r="AK30" s="10" t="str">
        <f t="shared" si="1"/>
        <v>Sin respuesta</v>
      </c>
      <c r="AP30"/>
    </row>
    <row r="31" spans="2:42" ht="60" hidden="1">
      <c r="B31">
        <v>4</v>
      </c>
      <c r="C31">
        <v>901275815</v>
      </c>
      <c r="D31" t="s">
        <v>281</v>
      </c>
      <c r="E31" t="s">
        <v>281</v>
      </c>
      <c r="F31">
        <v>71635652</v>
      </c>
      <c r="G31" t="s">
        <v>165</v>
      </c>
      <c r="H31" t="s">
        <v>282</v>
      </c>
      <c r="I31" t="s">
        <v>61</v>
      </c>
      <c r="J31" t="s">
        <v>114</v>
      </c>
      <c r="K31" t="s">
        <v>48</v>
      </c>
      <c r="L31">
        <v>171</v>
      </c>
      <c r="M31">
        <v>167</v>
      </c>
      <c r="N31">
        <v>169</v>
      </c>
      <c r="O31" t="s">
        <v>62</v>
      </c>
      <c r="P31" t="s">
        <v>63</v>
      </c>
      <c r="Q31" t="s">
        <v>283</v>
      </c>
      <c r="R31">
        <v>2024</v>
      </c>
      <c r="S31" t="s">
        <v>124</v>
      </c>
      <c r="T31" t="s">
        <v>284</v>
      </c>
      <c r="U31" s="8">
        <v>45394.513333333336</v>
      </c>
      <c r="V31" s="2" t="s">
        <v>285</v>
      </c>
      <c r="X31" t="s">
        <v>55</v>
      </c>
      <c r="Y31" t="s">
        <v>56</v>
      </c>
      <c r="Z31" t="s">
        <v>57</v>
      </c>
      <c r="AA31">
        <v>3205729551</v>
      </c>
      <c r="AB31" t="s">
        <v>286</v>
      </c>
      <c r="AC31">
        <v>6</v>
      </c>
      <c r="AD31" s="2" t="s">
        <v>91</v>
      </c>
      <c r="AJ31" s="11" t="str">
        <f t="shared" si="0"/>
        <v>Sin respuesta</v>
      </c>
      <c r="AK31" s="12" t="str">
        <f t="shared" si="1"/>
        <v>Sin respuesta</v>
      </c>
      <c r="AP31"/>
    </row>
    <row r="32" spans="2:42" ht="45" hidden="1">
      <c r="B32">
        <v>3</v>
      </c>
      <c r="C32">
        <v>808002135</v>
      </c>
      <c r="D32" t="s">
        <v>287</v>
      </c>
      <c r="E32" t="s">
        <v>287</v>
      </c>
      <c r="F32">
        <v>808002135</v>
      </c>
      <c r="G32" t="s">
        <v>288</v>
      </c>
      <c r="H32" t="s">
        <v>289</v>
      </c>
      <c r="I32" t="s">
        <v>290</v>
      </c>
      <c r="J32" t="s">
        <v>47</v>
      </c>
      <c r="K32" t="s">
        <v>48</v>
      </c>
      <c r="L32">
        <v>210</v>
      </c>
      <c r="M32">
        <v>187</v>
      </c>
      <c r="N32">
        <v>208</v>
      </c>
      <c r="O32" t="s">
        <v>48</v>
      </c>
      <c r="P32" t="s">
        <v>291</v>
      </c>
      <c r="Q32" t="s">
        <v>292</v>
      </c>
      <c r="R32">
        <v>2024</v>
      </c>
      <c r="S32" t="s">
        <v>65</v>
      </c>
      <c r="T32" t="s">
        <v>293</v>
      </c>
      <c r="U32" s="8">
        <v>45355.4059837963</v>
      </c>
      <c r="V32" s="2" t="s">
        <v>294</v>
      </c>
      <c r="X32" t="s">
        <v>55</v>
      </c>
      <c r="Y32" t="s">
        <v>56</v>
      </c>
      <c r="Z32" t="s">
        <v>68</v>
      </c>
      <c r="AA32">
        <v>8676427</v>
      </c>
      <c r="AB32" t="s">
        <v>295</v>
      </c>
      <c r="AC32">
        <v>2</v>
      </c>
      <c r="AJ32" s="9" t="str">
        <f t="shared" si="0"/>
        <v>Sin respuesta</v>
      </c>
      <c r="AK32" s="10" t="str">
        <f t="shared" si="1"/>
        <v>Sin respuesta</v>
      </c>
      <c r="AP32"/>
    </row>
    <row r="33" spans="2:42" ht="45" hidden="1">
      <c r="B33">
        <v>3</v>
      </c>
      <c r="C33">
        <v>901526928</v>
      </c>
      <c r="D33" t="s">
        <v>296</v>
      </c>
      <c r="E33" t="s">
        <v>297</v>
      </c>
      <c r="F33">
        <v>901526928</v>
      </c>
      <c r="G33" t="s">
        <v>298</v>
      </c>
      <c r="H33" t="s">
        <v>299</v>
      </c>
      <c r="I33" t="s">
        <v>290</v>
      </c>
      <c r="J33" t="s">
        <v>47</v>
      </c>
      <c r="K33" t="s">
        <v>48</v>
      </c>
      <c r="L33">
        <v>210</v>
      </c>
      <c r="M33">
        <v>187</v>
      </c>
      <c r="N33">
        <v>208</v>
      </c>
      <c r="O33" t="s">
        <v>48</v>
      </c>
      <c r="P33" t="s">
        <v>291</v>
      </c>
      <c r="Q33" t="s">
        <v>300</v>
      </c>
      <c r="R33">
        <v>2024</v>
      </c>
      <c r="S33" t="s">
        <v>65</v>
      </c>
      <c r="T33" t="s">
        <v>293</v>
      </c>
      <c r="U33" s="8">
        <v>45355.416238425925</v>
      </c>
      <c r="V33" s="2" t="s">
        <v>301</v>
      </c>
      <c r="X33" t="s">
        <v>55</v>
      </c>
      <c r="Y33" t="s">
        <v>56</v>
      </c>
      <c r="Z33" t="s">
        <v>68</v>
      </c>
      <c r="AA33">
        <v>8726072</v>
      </c>
      <c r="AB33" t="s">
        <v>302</v>
      </c>
      <c r="AC33">
        <v>2</v>
      </c>
      <c r="AJ33" s="9" t="str">
        <f t="shared" si="0"/>
        <v>Sin respuesta</v>
      </c>
      <c r="AK33" s="10" t="str">
        <f t="shared" si="1"/>
        <v>Sin respuesta</v>
      </c>
      <c r="AP33"/>
    </row>
    <row r="34" spans="2:42" ht="45" hidden="1">
      <c r="B34">
        <v>3</v>
      </c>
      <c r="C34">
        <v>800061228</v>
      </c>
      <c r="D34" t="s">
        <v>303</v>
      </c>
      <c r="E34" t="s">
        <v>304</v>
      </c>
      <c r="F34">
        <v>800061228</v>
      </c>
      <c r="G34" t="s">
        <v>304</v>
      </c>
      <c r="H34" t="s">
        <v>305</v>
      </c>
      <c r="I34" t="s">
        <v>160</v>
      </c>
      <c r="J34" t="s">
        <v>47</v>
      </c>
      <c r="K34" t="s">
        <v>48</v>
      </c>
      <c r="L34">
        <v>187</v>
      </c>
      <c r="M34">
        <v>179</v>
      </c>
      <c r="N34">
        <v>185</v>
      </c>
      <c r="O34" t="s">
        <v>48</v>
      </c>
      <c r="P34" t="s">
        <v>63</v>
      </c>
      <c r="Q34" t="s">
        <v>306</v>
      </c>
      <c r="R34">
        <v>2024</v>
      </c>
      <c r="S34" t="s">
        <v>65</v>
      </c>
      <c r="T34" t="s">
        <v>293</v>
      </c>
      <c r="U34" s="8">
        <v>45378.451828703706</v>
      </c>
      <c r="V34" s="2" t="s">
        <v>307</v>
      </c>
      <c r="X34" t="s">
        <v>55</v>
      </c>
      <c r="Y34" t="s">
        <v>56</v>
      </c>
      <c r="Z34" t="s">
        <v>57</v>
      </c>
      <c r="AA34">
        <v>4440960</v>
      </c>
      <c r="AB34" t="s">
        <v>308</v>
      </c>
      <c r="AC34">
        <v>2</v>
      </c>
      <c r="AJ34" s="9" t="str">
        <f t="shared" si="0"/>
        <v>Sin respuesta</v>
      </c>
      <c r="AK34" s="10" t="str">
        <f t="shared" si="1"/>
        <v>Sin respuesta</v>
      </c>
      <c r="AP34"/>
    </row>
    <row r="35" spans="2:42" ht="45" hidden="1">
      <c r="B35">
        <v>3</v>
      </c>
      <c r="C35">
        <v>12961349</v>
      </c>
      <c r="D35" t="s">
        <v>309</v>
      </c>
      <c r="E35" t="s">
        <v>310</v>
      </c>
      <c r="F35">
        <v>12999989</v>
      </c>
      <c r="G35" t="s">
        <v>82</v>
      </c>
      <c r="H35" t="s">
        <v>311</v>
      </c>
      <c r="I35" t="s">
        <v>84</v>
      </c>
      <c r="J35" t="s">
        <v>114</v>
      </c>
      <c r="K35" t="s">
        <v>48</v>
      </c>
      <c r="L35">
        <v>209</v>
      </c>
      <c r="M35">
        <v>208</v>
      </c>
      <c r="N35">
        <v>207</v>
      </c>
      <c r="O35" t="s">
        <v>105</v>
      </c>
      <c r="P35" t="s">
        <v>85</v>
      </c>
      <c r="Q35" t="s">
        <v>312</v>
      </c>
      <c r="R35">
        <v>2024</v>
      </c>
      <c r="S35" t="s">
        <v>124</v>
      </c>
      <c r="T35" t="s">
        <v>313</v>
      </c>
      <c r="U35" s="8">
        <v>45356.595393518517</v>
      </c>
      <c r="V35" s="2" t="s">
        <v>314</v>
      </c>
      <c r="X35" t="s">
        <v>55</v>
      </c>
      <c r="Y35" t="s">
        <v>56</v>
      </c>
      <c r="Z35" t="s">
        <v>68</v>
      </c>
      <c r="AA35">
        <v>7200016</v>
      </c>
      <c r="AB35" t="s">
        <v>315</v>
      </c>
      <c r="AC35">
        <v>8</v>
      </c>
      <c r="AJ35" s="11" t="str">
        <f t="shared" si="0"/>
        <v>Sin respuesta</v>
      </c>
      <c r="AK35" s="12" t="str">
        <f t="shared" si="1"/>
        <v>Sin respuesta</v>
      </c>
      <c r="AP35"/>
    </row>
    <row r="36" spans="2:42" ht="45" hidden="1">
      <c r="B36">
        <v>3</v>
      </c>
      <c r="C36">
        <v>800093859</v>
      </c>
      <c r="D36" t="s">
        <v>240</v>
      </c>
      <c r="E36" t="s">
        <v>240</v>
      </c>
      <c r="F36">
        <v>4168751</v>
      </c>
      <c r="G36" t="s">
        <v>316</v>
      </c>
      <c r="H36" t="s">
        <v>242</v>
      </c>
      <c r="I36" t="s">
        <v>104</v>
      </c>
      <c r="J36" t="s">
        <v>47</v>
      </c>
      <c r="K36" t="s">
        <v>48</v>
      </c>
      <c r="L36">
        <v>208</v>
      </c>
      <c r="M36">
        <v>201</v>
      </c>
      <c r="N36">
        <v>206</v>
      </c>
      <c r="O36" t="s">
        <v>62</v>
      </c>
      <c r="P36" t="s">
        <v>106</v>
      </c>
      <c r="Q36" t="s">
        <v>317</v>
      </c>
      <c r="R36">
        <v>2024</v>
      </c>
      <c r="S36" t="s">
        <v>65</v>
      </c>
      <c r="T36" t="s">
        <v>66</v>
      </c>
      <c r="U36" s="8">
        <v>45357.603854166664</v>
      </c>
      <c r="V36" s="2" t="s">
        <v>318</v>
      </c>
      <c r="X36" t="s">
        <v>55</v>
      </c>
      <c r="Y36" t="s">
        <v>56</v>
      </c>
      <c r="Z36" t="s">
        <v>68</v>
      </c>
      <c r="AA36">
        <v>2829279</v>
      </c>
      <c r="AB36" t="s">
        <v>247</v>
      </c>
      <c r="AC36">
        <v>6</v>
      </c>
      <c r="AD36" s="2" t="s">
        <v>91</v>
      </c>
      <c r="AJ36" s="11" t="str">
        <f t="shared" si="0"/>
        <v>Sin respuesta</v>
      </c>
      <c r="AK36" s="12" t="str">
        <f t="shared" si="1"/>
        <v>Sin respuesta</v>
      </c>
      <c r="AP36"/>
    </row>
    <row r="37" spans="2:42" ht="45" hidden="1">
      <c r="B37">
        <v>3</v>
      </c>
      <c r="C37">
        <v>890324420</v>
      </c>
      <c r="D37" t="s">
        <v>92</v>
      </c>
      <c r="E37" t="s">
        <v>93</v>
      </c>
      <c r="F37">
        <v>31955078</v>
      </c>
      <c r="G37" t="s">
        <v>319</v>
      </c>
      <c r="H37" t="s">
        <v>95</v>
      </c>
      <c r="I37" t="s">
        <v>96</v>
      </c>
      <c r="J37" t="s">
        <v>47</v>
      </c>
      <c r="K37" t="s">
        <v>48</v>
      </c>
      <c r="L37">
        <v>208</v>
      </c>
      <c r="M37">
        <v>195</v>
      </c>
      <c r="N37">
        <v>206</v>
      </c>
      <c r="O37" t="s">
        <v>48</v>
      </c>
      <c r="P37" t="s">
        <v>97</v>
      </c>
      <c r="Q37" t="s">
        <v>320</v>
      </c>
      <c r="R37">
        <v>2024</v>
      </c>
      <c r="S37" t="s">
        <v>65</v>
      </c>
      <c r="T37" t="s">
        <v>77</v>
      </c>
      <c r="U37" s="8">
        <v>45357.68818287037</v>
      </c>
      <c r="V37" s="2" t="s">
        <v>321</v>
      </c>
      <c r="X37" t="s">
        <v>55</v>
      </c>
      <c r="Y37" t="s">
        <v>56</v>
      </c>
      <c r="Z37" t="s">
        <v>68</v>
      </c>
      <c r="AA37">
        <v>4437900</v>
      </c>
      <c r="AB37" t="s">
        <v>100</v>
      </c>
      <c r="AC37">
        <v>2</v>
      </c>
      <c r="AJ37" s="9" t="str">
        <f t="shared" si="0"/>
        <v>Sin respuesta</v>
      </c>
      <c r="AK37" s="10" t="str">
        <f t="shared" si="1"/>
        <v>Sin respuesta</v>
      </c>
      <c r="AP37"/>
    </row>
    <row r="38" spans="2:42" ht="30" hidden="1">
      <c r="B38">
        <v>3</v>
      </c>
      <c r="C38">
        <v>71593581</v>
      </c>
      <c r="D38" t="s">
        <v>322</v>
      </c>
      <c r="E38" t="s">
        <v>322</v>
      </c>
      <c r="F38">
        <v>71117644</v>
      </c>
      <c r="G38" t="s">
        <v>145</v>
      </c>
      <c r="H38" t="s">
        <v>323</v>
      </c>
      <c r="I38" t="s">
        <v>211</v>
      </c>
      <c r="J38" t="s">
        <v>114</v>
      </c>
      <c r="K38" t="s">
        <v>48</v>
      </c>
      <c r="L38">
        <v>208</v>
      </c>
      <c r="M38">
        <v>206</v>
      </c>
      <c r="N38">
        <v>206</v>
      </c>
      <c r="O38" t="s">
        <v>62</v>
      </c>
      <c r="P38" t="s">
        <v>63</v>
      </c>
      <c r="Q38" t="s">
        <v>324</v>
      </c>
      <c r="R38">
        <v>2024</v>
      </c>
      <c r="S38" t="s">
        <v>124</v>
      </c>
      <c r="T38" t="s">
        <v>284</v>
      </c>
      <c r="U38" s="8">
        <v>45357.698645833334</v>
      </c>
      <c r="V38" s="2" t="s">
        <v>325</v>
      </c>
      <c r="X38" t="s">
        <v>55</v>
      </c>
      <c r="Y38" t="s">
        <v>56</v>
      </c>
      <c r="Z38" t="s">
        <v>68</v>
      </c>
      <c r="AA38">
        <v>3113165778</v>
      </c>
      <c r="AB38" t="s">
        <v>326</v>
      </c>
      <c r="AC38">
        <v>6</v>
      </c>
      <c r="AD38" s="2" t="s">
        <v>70</v>
      </c>
      <c r="AF38" t="s">
        <v>327</v>
      </c>
      <c r="AJ38" s="11" t="str">
        <f t="shared" si="0"/>
        <v>Sin respuesta</v>
      </c>
      <c r="AK38" s="12" t="str">
        <f t="shared" si="1"/>
        <v>Sin respuesta</v>
      </c>
      <c r="AN38" s="13" t="s">
        <v>328</v>
      </c>
      <c r="AP38"/>
    </row>
    <row r="39" spans="2:42" ht="45" hidden="1">
      <c r="B39">
        <v>4</v>
      </c>
      <c r="C39">
        <v>13054620</v>
      </c>
      <c r="D39" t="s">
        <v>329</v>
      </c>
      <c r="E39" t="s">
        <v>330</v>
      </c>
      <c r="F39">
        <v>13054620</v>
      </c>
      <c r="G39" t="s">
        <v>330</v>
      </c>
      <c r="H39" t="s">
        <v>331</v>
      </c>
      <c r="I39" t="s">
        <v>332</v>
      </c>
      <c r="J39" t="s">
        <v>47</v>
      </c>
      <c r="K39" t="s">
        <v>48</v>
      </c>
      <c r="L39">
        <v>172</v>
      </c>
      <c r="M39">
        <v>171</v>
      </c>
      <c r="N39">
        <v>170</v>
      </c>
      <c r="O39" t="s">
        <v>48</v>
      </c>
      <c r="P39" t="s">
        <v>85</v>
      </c>
      <c r="Q39" t="s">
        <v>333</v>
      </c>
      <c r="R39">
        <v>2024</v>
      </c>
      <c r="S39" t="s">
        <v>65</v>
      </c>
      <c r="T39" t="s">
        <v>334</v>
      </c>
      <c r="U39" s="8">
        <v>45393.589490740742</v>
      </c>
      <c r="V39" s="2" t="s">
        <v>335</v>
      </c>
      <c r="X39" t="s">
        <v>55</v>
      </c>
      <c r="Y39" t="s">
        <v>56</v>
      </c>
      <c r="Z39" t="s">
        <v>57</v>
      </c>
      <c r="AA39">
        <v>7274616</v>
      </c>
      <c r="AB39" t="s">
        <v>336</v>
      </c>
      <c r="AC39">
        <v>2</v>
      </c>
      <c r="AJ39" s="9" t="str">
        <f t="shared" si="0"/>
        <v>Sin respuesta</v>
      </c>
      <c r="AK39" s="10" t="str">
        <f t="shared" si="1"/>
        <v>Sin respuesta</v>
      </c>
      <c r="AP39"/>
    </row>
    <row r="40" spans="2:42" ht="30" hidden="1">
      <c r="B40">
        <v>3</v>
      </c>
      <c r="C40">
        <v>3497299</v>
      </c>
      <c r="D40" t="s">
        <v>337</v>
      </c>
      <c r="E40" t="s">
        <v>338</v>
      </c>
      <c r="F40">
        <v>3497299</v>
      </c>
      <c r="G40" t="s">
        <v>339</v>
      </c>
      <c r="H40" t="s">
        <v>340</v>
      </c>
      <c r="I40" t="s">
        <v>264</v>
      </c>
      <c r="J40" t="s">
        <v>47</v>
      </c>
      <c r="K40" t="s">
        <v>48</v>
      </c>
      <c r="L40">
        <v>206</v>
      </c>
      <c r="M40">
        <v>202</v>
      </c>
      <c r="N40">
        <v>204</v>
      </c>
      <c r="O40" t="s">
        <v>49</v>
      </c>
      <c r="P40" t="s">
        <v>265</v>
      </c>
      <c r="Q40" t="s">
        <v>341</v>
      </c>
      <c r="R40">
        <v>2024</v>
      </c>
      <c r="S40" t="s">
        <v>65</v>
      </c>
      <c r="T40" t="s">
        <v>125</v>
      </c>
      <c r="U40" s="8">
        <v>45359.686331018522</v>
      </c>
      <c r="V40" s="2" t="s">
        <v>342</v>
      </c>
      <c r="X40" t="s">
        <v>55</v>
      </c>
      <c r="Y40" t="s">
        <v>56</v>
      </c>
      <c r="Z40" t="s">
        <v>246</v>
      </c>
      <c r="AA40">
        <v>7824466</v>
      </c>
      <c r="AB40" t="s">
        <v>343</v>
      </c>
      <c r="AC40">
        <v>3</v>
      </c>
      <c r="AJ40" s="9" t="str">
        <f t="shared" si="0"/>
        <v>Sin respuesta</v>
      </c>
      <c r="AK40" s="10" t="str">
        <f t="shared" si="1"/>
        <v>Sin respuesta</v>
      </c>
      <c r="AP40"/>
    </row>
    <row r="41" spans="2:42" ht="60" hidden="1">
      <c r="B41">
        <v>3</v>
      </c>
      <c r="C41">
        <v>11560380</v>
      </c>
      <c r="D41" t="s">
        <v>344</v>
      </c>
      <c r="E41" t="s">
        <v>345</v>
      </c>
      <c r="F41">
        <v>11560380</v>
      </c>
      <c r="G41" t="s">
        <v>346</v>
      </c>
      <c r="H41" t="s">
        <v>347</v>
      </c>
      <c r="I41" t="s">
        <v>348</v>
      </c>
      <c r="J41" t="s">
        <v>47</v>
      </c>
      <c r="K41" t="s">
        <v>48</v>
      </c>
      <c r="L41">
        <v>203</v>
      </c>
      <c r="M41">
        <v>202</v>
      </c>
      <c r="N41">
        <v>201</v>
      </c>
      <c r="O41" t="s">
        <v>49</v>
      </c>
      <c r="P41" t="s">
        <v>349</v>
      </c>
      <c r="Q41" t="s">
        <v>350</v>
      </c>
      <c r="R41">
        <v>2024</v>
      </c>
      <c r="S41" t="s">
        <v>52</v>
      </c>
      <c r="T41" t="s">
        <v>351</v>
      </c>
      <c r="U41" s="8">
        <v>45362.615520833337</v>
      </c>
      <c r="V41" s="2" t="s">
        <v>352</v>
      </c>
      <c r="X41" t="s">
        <v>55</v>
      </c>
      <c r="Y41" t="s">
        <v>56</v>
      </c>
      <c r="Z41" t="s">
        <v>68</v>
      </c>
      <c r="AA41">
        <v>3124114285</v>
      </c>
      <c r="AB41" t="s">
        <v>353</v>
      </c>
      <c r="AC41">
        <v>3</v>
      </c>
      <c r="AJ41" s="9" t="str">
        <f t="shared" si="0"/>
        <v>Sin respuesta</v>
      </c>
      <c r="AK41" s="10" t="str">
        <f t="shared" si="1"/>
        <v>Sin respuesta</v>
      </c>
      <c r="AP41"/>
    </row>
    <row r="42" spans="2:42" ht="45" hidden="1">
      <c r="B42">
        <v>3</v>
      </c>
      <c r="C42">
        <v>14248414</v>
      </c>
      <c r="D42" t="s">
        <v>354</v>
      </c>
      <c r="E42" t="s">
        <v>355</v>
      </c>
      <c r="F42">
        <v>43598008</v>
      </c>
      <c r="G42" t="s">
        <v>68</v>
      </c>
      <c r="H42" t="s">
        <v>356</v>
      </c>
      <c r="I42" t="s">
        <v>357</v>
      </c>
      <c r="J42" t="s">
        <v>47</v>
      </c>
      <c r="K42" t="s">
        <v>48</v>
      </c>
      <c r="L42">
        <v>203</v>
      </c>
      <c r="M42">
        <v>202</v>
      </c>
      <c r="N42">
        <v>201</v>
      </c>
      <c r="O42" t="s">
        <v>48</v>
      </c>
      <c r="P42" t="s">
        <v>236</v>
      </c>
      <c r="Q42" t="s">
        <v>358</v>
      </c>
      <c r="R42">
        <v>2024</v>
      </c>
      <c r="S42" t="s">
        <v>65</v>
      </c>
      <c r="T42" t="s">
        <v>334</v>
      </c>
      <c r="U42" s="8">
        <v>45362.656550925924</v>
      </c>
      <c r="V42" s="2" t="s">
        <v>359</v>
      </c>
      <c r="X42" t="s">
        <v>55</v>
      </c>
      <c r="Y42" t="s">
        <v>56</v>
      </c>
      <c r="Z42" t="s">
        <v>68</v>
      </c>
      <c r="AA42">
        <v>2454535</v>
      </c>
      <c r="AB42" t="s">
        <v>360</v>
      </c>
      <c r="AC42">
        <v>2</v>
      </c>
      <c r="AJ42" s="9" t="str">
        <f t="shared" si="0"/>
        <v>Sin respuesta</v>
      </c>
      <c r="AK42" s="10" t="str">
        <f t="shared" si="1"/>
        <v>Sin respuesta</v>
      </c>
      <c r="AP42"/>
    </row>
    <row r="43" spans="2:42" ht="45" hidden="1">
      <c r="B43">
        <v>3</v>
      </c>
      <c r="C43">
        <v>901482950</v>
      </c>
      <c r="D43" t="s">
        <v>361</v>
      </c>
      <c r="E43" t="s">
        <v>362</v>
      </c>
      <c r="F43">
        <v>901482950</v>
      </c>
      <c r="G43" t="s">
        <v>363</v>
      </c>
      <c r="H43" t="s">
        <v>364</v>
      </c>
      <c r="I43" t="s">
        <v>365</v>
      </c>
      <c r="J43" t="s">
        <v>47</v>
      </c>
      <c r="K43" t="s">
        <v>48</v>
      </c>
      <c r="L43">
        <v>202</v>
      </c>
      <c r="M43">
        <v>202</v>
      </c>
      <c r="N43">
        <v>200</v>
      </c>
      <c r="O43" t="s">
        <v>62</v>
      </c>
      <c r="P43" t="s">
        <v>63</v>
      </c>
      <c r="Q43" t="s">
        <v>366</v>
      </c>
      <c r="R43">
        <v>2024</v>
      </c>
      <c r="S43" t="s">
        <v>87</v>
      </c>
      <c r="T43" t="s">
        <v>88</v>
      </c>
      <c r="U43" s="8">
        <v>45363.366631944446</v>
      </c>
      <c r="V43" s="2" t="s">
        <v>367</v>
      </c>
      <c r="X43" t="s">
        <v>55</v>
      </c>
      <c r="Y43" t="s">
        <v>368</v>
      </c>
      <c r="Z43" t="s">
        <v>246</v>
      </c>
      <c r="AA43">
        <v>3506921483</v>
      </c>
      <c r="AB43" t="s">
        <v>369</v>
      </c>
      <c r="AC43">
        <v>6</v>
      </c>
      <c r="AD43" s="2" t="s">
        <v>70</v>
      </c>
      <c r="AF43" t="s">
        <v>327</v>
      </c>
      <c r="AJ43" s="9" t="str">
        <f>IF(AI43="","Sin respuesta",NETWORKDAYS.INTL(X43,AI43,1))</f>
        <v>Sin respuesta</v>
      </c>
      <c r="AK43" s="10" t="str">
        <f>IF(AJ43="Sin respuesta","Sin respuesta",IF(AJ43&lt;10,"SÏ","No"))</f>
        <v>Sin respuesta</v>
      </c>
      <c r="AN43" s="13" t="s">
        <v>328</v>
      </c>
      <c r="AP43"/>
    </row>
    <row r="44" spans="2:42" ht="90" hidden="1">
      <c r="B44">
        <v>3</v>
      </c>
      <c r="C44">
        <v>890900044</v>
      </c>
      <c r="D44" t="s">
        <v>370</v>
      </c>
      <c r="E44" t="s">
        <v>371</v>
      </c>
      <c r="F44">
        <v>890900044</v>
      </c>
      <c r="G44" t="s">
        <v>372</v>
      </c>
      <c r="H44" t="s">
        <v>373</v>
      </c>
      <c r="I44" t="s">
        <v>211</v>
      </c>
      <c r="J44" t="s">
        <v>114</v>
      </c>
      <c r="K44" t="s">
        <v>48</v>
      </c>
      <c r="L44">
        <v>202</v>
      </c>
      <c r="M44">
        <v>201</v>
      </c>
      <c r="N44">
        <v>200</v>
      </c>
      <c r="O44" t="s">
        <v>105</v>
      </c>
      <c r="P44" t="s">
        <v>63</v>
      </c>
      <c r="Q44" t="s">
        <v>374</v>
      </c>
      <c r="R44">
        <v>2024</v>
      </c>
      <c r="S44" t="s">
        <v>124</v>
      </c>
      <c r="T44" t="s">
        <v>284</v>
      </c>
      <c r="U44" s="8">
        <v>45363.490104166667</v>
      </c>
      <c r="V44" s="2" t="s">
        <v>375</v>
      </c>
      <c r="X44" t="s">
        <v>55</v>
      </c>
      <c r="Y44" t="s">
        <v>56</v>
      </c>
      <c r="Z44" t="s">
        <v>246</v>
      </c>
      <c r="AA44">
        <v>4489343</v>
      </c>
      <c r="AB44" t="s">
        <v>376</v>
      </c>
      <c r="AC44">
        <v>8</v>
      </c>
      <c r="AJ44" s="11" t="str">
        <f t="shared" si="0"/>
        <v>Sin respuesta</v>
      </c>
      <c r="AK44" s="12" t="str">
        <f t="shared" si="1"/>
        <v>Sin respuesta</v>
      </c>
      <c r="AP44"/>
    </row>
    <row r="45" spans="2:42" ht="75" hidden="1">
      <c r="B45">
        <v>4</v>
      </c>
      <c r="C45">
        <v>890207047</v>
      </c>
      <c r="D45" t="s">
        <v>377</v>
      </c>
      <c r="E45" t="s">
        <v>378</v>
      </c>
      <c r="F45">
        <v>890207047</v>
      </c>
      <c r="G45" t="s">
        <v>378</v>
      </c>
      <c r="H45" t="s">
        <v>379</v>
      </c>
      <c r="I45" t="s">
        <v>380</v>
      </c>
      <c r="J45" t="s">
        <v>47</v>
      </c>
      <c r="K45" t="s">
        <v>48</v>
      </c>
      <c r="L45">
        <v>172</v>
      </c>
      <c r="M45">
        <v>171</v>
      </c>
      <c r="N45">
        <v>170</v>
      </c>
      <c r="O45" t="s">
        <v>49</v>
      </c>
      <c r="P45" t="s">
        <v>180</v>
      </c>
      <c r="Q45" t="s">
        <v>381</v>
      </c>
      <c r="R45">
        <v>2024</v>
      </c>
      <c r="S45" t="s">
        <v>52</v>
      </c>
      <c r="T45" t="s">
        <v>53</v>
      </c>
      <c r="U45" s="8">
        <v>45393.402222222219</v>
      </c>
      <c r="V45" s="2" t="s">
        <v>382</v>
      </c>
      <c r="X45" t="s">
        <v>55</v>
      </c>
      <c r="Y45" t="s">
        <v>56</v>
      </c>
      <c r="Z45" t="s">
        <v>57</v>
      </c>
      <c r="AA45">
        <v>6424839</v>
      </c>
      <c r="AB45" t="s">
        <v>383</v>
      </c>
      <c r="AC45">
        <v>3</v>
      </c>
      <c r="AJ45" s="11" t="str">
        <f t="shared" si="0"/>
        <v>Sin respuesta</v>
      </c>
      <c r="AK45" s="12" t="str">
        <f t="shared" si="1"/>
        <v>Sin respuesta</v>
      </c>
      <c r="AP45"/>
    </row>
    <row r="46" spans="2:42" ht="45" hidden="1">
      <c r="B46">
        <v>4</v>
      </c>
      <c r="C46">
        <v>901266562</v>
      </c>
      <c r="D46" t="s">
        <v>384</v>
      </c>
      <c r="E46" t="s">
        <v>384</v>
      </c>
      <c r="F46">
        <v>901266562</v>
      </c>
      <c r="G46" t="s">
        <v>385</v>
      </c>
      <c r="H46" t="s">
        <v>386</v>
      </c>
      <c r="I46" t="s">
        <v>61</v>
      </c>
      <c r="J46" t="s">
        <v>47</v>
      </c>
      <c r="K46" t="s">
        <v>48</v>
      </c>
      <c r="L46">
        <v>173</v>
      </c>
      <c r="M46">
        <v>171</v>
      </c>
      <c r="N46">
        <v>171</v>
      </c>
      <c r="O46" t="s">
        <v>49</v>
      </c>
      <c r="P46" t="s">
        <v>63</v>
      </c>
      <c r="Q46" t="s">
        <v>387</v>
      </c>
      <c r="R46">
        <v>2024</v>
      </c>
      <c r="S46" t="s">
        <v>65</v>
      </c>
      <c r="T46" t="s">
        <v>125</v>
      </c>
      <c r="U46" s="8">
        <v>45392.469710648147</v>
      </c>
      <c r="V46" s="2" t="s">
        <v>388</v>
      </c>
      <c r="X46" t="s">
        <v>55</v>
      </c>
      <c r="Y46" t="s">
        <v>56</v>
      </c>
      <c r="Z46" t="s">
        <v>246</v>
      </c>
      <c r="AA46">
        <v>3205146187</v>
      </c>
      <c r="AB46" t="s">
        <v>389</v>
      </c>
      <c r="AC46">
        <v>3</v>
      </c>
      <c r="AJ46" s="9" t="str">
        <f t="shared" si="0"/>
        <v>Sin respuesta</v>
      </c>
      <c r="AK46" s="10" t="str">
        <f t="shared" si="1"/>
        <v>Sin respuesta</v>
      </c>
      <c r="AP46"/>
    </row>
    <row r="47" spans="2:42" ht="45" hidden="1">
      <c r="B47">
        <v>3</v>
      </c>
      <c r="C47">
        <v>71678710</v>
      </c>
      <c r="D47" t="s">
        <v>390</v>
      </c>
      <c r="E47" t="s">
        <v>391</v>
      </c>
      <c r="F47">
        <v>71678710</v>
      </c>
      <c r="G47" t="s">
        <v>392</v>
      </c>
      <c r="H47" t="s">
        <v>393</v>
      </c>
      <c r="I47" t="s">
        <v>211</v>
      </c>
      <c r="J47" t="s">
        <v>114</v>
      </c>
      <c r="K47" t="s">
        <v>48</v>
      </c>
      <c r="L47">
        <v>202</v>
      </c>
      <c r="M47">
        <v>195</v>
      </c>
      <c r="N47">
        <v>200</v>
      </c>
      <c r="O47" t="s">
        <v>62</v>
      </c>
      <c r="P47" t="s">
        <v>63</v>
      </c>
      <c r="Q47" t="s">
        <v>394</v>
      </c>
      <c r="R47">
        <v>2024</v>
      </c>
      <c r="S47" t="s">
        <v>124</v>
      </c>
      <c r="T47" t="s">
        <v>284</v>
      </c>
      <c r="U47" s="8">
        <v>45363.519432870373</v>
      </c>
      <c r="V47" s="2" t="s">
        <v>395</v>
      </c>
      <c r="X47" t="s">
        <v>55</v>
      </c>
      <c r="Y47" t="s">
        <v>56</v>
      </c>
      <c r="Z47" t="s">
        <v>246</v>
      </c>
      <c r="AA47">
        <v>5118742</v>
      </c>
      <c r="AB47" t="s">
        <v>396</v>
      </c>
      <c r="AC47">
        <v>6</v>
      </c>
      <c r="AD47" s="2" t="s">
        <v>70</v>
      </c>
      <c r="AF47" t="s">
        <v>397</v>
      </c>
      <c r="AJ47" s="9" t="str">
        <f t="shared" si="0"/>
        <v>Sin respuesta</v>
      </c>
      <c r="AK47" s="10" t="str">
        <f t="shared" si="1"/>
        <v>Sin respuesta</v>
      </c>
      <c r="AN47" s="13" t="s">
        <v>398</v>
      </c>
      <c r="AP47"/>
    </row>
    <row r="48" spans="2:42" ht="45" hidden="1">
      <c r="B48">
        <v>3</v>
      </c>
      <c r="C48">
        <v>900629255</v>
      </c>
      <c r="D48" t="s">
        <v>399</v>
      </c>
      <c r="E48" t="s">
        <v>400</v>
      </c>
      <c r="F48">
        <v>900629255</v>
      </c>
      <c r="G48" t="s">
        <v>400</v>
      </c>
      <c r="H48" t="s">
        <v>401</v>
      </c>
      <c r="I48" t="s">
        <v>402</v>
      </c>
      <c r="J48" t="s">
        <v>114</v>
      </c>
      <c r="K48" t="s">
        <v>48</v>
      </c>
      <c r="L48">
        <v>202</v>
      </c>
      <c r="M48">
        <v>196</v>
      </c>
      <c r="N48">
        <v>200</v>
      </c>
      <c r="O48" t="s">
        <v>62</v>
      </c>
      <c r="P48" t="s">
        <v>63</v>
      </c>
      <c r="Q48" t="s">
        <v>403</v>
      </c>
      <c r="R48">
        <v>2024</v>
      </c>
      <c r="S48" t="s">
        <v>124</v>
      </c>
      <c r="T48" t="s">
        <v>284</v>
      </c>
      <c r="U48" s="8">
        <v>45363.525567129633</v>
      </c>
      <c r="V48" s="2" t="s">
        <v>404</v>
      </c>
      <c r="X48" t="s">
        <v>55</v>
      </c>
      <c r="Y48" t="s">
        <v>56</v>
      </c>
      <c r="Z48" t="s">
        <v>57</v>
      </c>
      <c r="AA48">
        <v>3792822</v>
      </c>
      <c r="AB48" t="s">
        <v>405</v>
      </c>
      <c r="AC48">
        <v>6</v>
      </c>
      <c r="AD48" s="2" t="s">
        <v>70</v>
      </c>
      <c r="AF48" t="s">
        <v>406</v>
      </c>
      <c r="AJ48" s="11" t="str">
        <f t="shared" si="0"/>
        <v>Sin respuesta</v>
      </c>
      <c r="AK48" s="12" t="str">
        <f t="shared" si="1"/>
        <v>Sin respuesta</v>
      </c>
      <c r="AN48" s="13" t="s">
        <v>328</v>
      </c>
      <c r="AP48"/>
    </row>
    <row r="49" spans="2:42" ht="60" hidden="1">
      <c r="B49">
        <v>3</v>
      </c>
      <c r="C49">
        <v>890324420</v>
      </c>
      <c r="D49" t="s">
        <v>92</v>
      </c>
      <c r="E49" t="s">
        <v>93</v>
      </c>
      <c r="F49">
        <v>890324420</v>
      </c>
      <c r="G49" t="s">
        <v>407</v>
      </c>
      <c r="H49" t="s">
        <v>95</v>
      </c>
      <c r="I49" t="s">
        <v>96</v>
      </c>
      <c r="J49" t="s">
        <v>47</v>
      </c>
      <c r="K49" t="s">
        <v>48</v>
      </c>
      <c r="L49">
        <v>202</v>
      </c>
      <c r="M49">
        <v>202</v>
      </c>
      <c r="N49">
        <v>200</v>
      </c>
      <c r="O49" t="s">
        <v>48</v>
      </c>
      <c r="P49" t="s">
        <v>97</v>
      </c>
      <c r="Q49" t="s">
        <v>408</v>
      </c>
      <c r="R49">
        <v>2024</v>
      </c>
      <c r="S49" t="s">
        <v>65</v>
      </c>
      <c r="T49" t="s">
        <v>334</v>
      </c>
      <c r="U49" s="8">
        <v>45363.625706018516</v>
      </c>
      <c r="V49" s="2" t="s">
        <v>409</v>
      </c>
      <c r="X49" t="s">
        <v>55</v>
      </c>
      <c r="Y49" t="s">
        <v>56</v>
      </c>
      <c r="Z49" t="s">
        <v>246</v>
      </c>
      <c r="AA49">
        <v>4437900</v>
      </c>
      <c r="AB49" t="s">
        <v>100</v>
      </c>
      <c r="AC49">
        <v>2</v>
      </c>
      <c r="AJ49" s="11" t="str">
        <f t="shared" si="0"/>
        <v>Sin respuesta</v>
      </c>
      <c r="AK49" s="12" t="str">
        <f t="shared" si="1"/>
        <v>Sin respuesta</v>
      </c>
      <c r="AP49"/>
    </row>
    <row r="50" spans="2:42" ht="60" hidden="1">
      <c r="B50">
        <v>3</v>
      </c>
      <c r="C50">
        <v>890324420</v>
      </c>
      <c r="D50" t="s">
        <v>92</v>
      </c>
      <c r="E50" t="s">
        <v>93</v>
      </c>
      <c r="F50">
        <v>890324420</v>
      </c>
      <c r="G50" t="s">
        <v>93</v>
      </c>
      <c r="H50" t="s">
        <v>95</v>
      </c>
      <c r="I50" t="s">
        <v>96</v>
      </c>
      <c r="J50" t="s">
        <v>47</v>
      </c>
      <c r="K50" t="s">
        <v>48</v>
      </c>
      <c r="L50">
        <v>202</v>
      </c>
      <c r="M50">
        <v>202</v>
      </c>
      <c r="N50">
        <v>200</v>
      </c>
      <c r="O50" t="s">
        <v>48</v>
      </c>
      <c r="P50" t="s">
        <v>97</v>
      </c>
      <c r="Q50" t="s">
        <v>410</v>
      </c>
      <c r="R50">
        <v>2024</v>
      </c>
      <c r="S50" t="s">
        <v>65</v>
      </c>
      <c r="T50" t="s">
        <v>334</v>
      </c>
      <c r="U50" s="8">
        <v>45363.642592592594</v>
      </c>
      <c r="V50" s="2" t="s">
        <v>411</v>
      </c>
      <c r="X50" t="s">
        <v>55</v>
      </c>
      <c r="Y50" t="s">
        <v>56</v>
      </c>
      <c r="Z50" t="s">
        <v>246</v>
      </c>
      <c r="AA50">
        <v>4437900</v>
      </c>
      <c r="AB50" t="s">
        <v>100</v>
      </c>
      <c r="AC50">
        <v>2</v>
      </c>
      <c r="AJ50" s="9" t="str">
        <f t="shared" si="0"/>
        <v>Sin respuesta</v>
      </c>
      <c r="AK50" s="10" t="str">
        <f t="shared" si="1"/>
        <v>Sin respuesta</v>
      </c>
      <c r="AP50"/>
    </row>
    <row r="51" spans="2:42" ht="60" hidden="1">
      <c r="B51">
        <v>3</v>
      </c>
      <c r="C51">
        <v>890324420</v>
      </c>
      <c r="D51" t="s">
        <v>92</v>
      </c>
      <c r="E51" t="s">
        <v>93</v>
      </c>
      <c r="F51">
        <v>890324420</v>
      </c>
      <c r="G51" t="s">
        <v>93</v>
      </c>
      <c r="H51" t="s">
        <v>95</v>
      </c>
      <c r="I51" t="s">
        <v>96</v>
      </c>
      <c r="J51" t="s">
        <v>47</v>
      </c>
      <c r="K51" t="s">
        <v>48</v>
      </c>
      <c r="L51">
        <v>202</v>
      </c>
      <c r="M51">
        <v>202</v>
      </c>
      <c r="N51">
        <v>200</v>
      </c>
      <c r="O51" t="s">
        <v>48</v>
      </c>
      <c r="P51" t="s">
        <v>97</v>
      </c>
      <c r="Q51" t="s">
        <v>412</v>
      </c>
      <c r="R51">
        <v>2024</v>
      </c>
      <c r="S51" t="s">
        <v>65</v>
      </c>
      <c r="T51" t="s">
        <v>334</v>
      </c>
      <c r="U51" s="8">
        <v>45363.649340277778</v>
      </c>
      <c r="V51" s="2" t="s">
        <v>413</v>
      </c>
      <c r="X51" t="s">
        <v>55</v>
      </c>
      <c r="Y51" t="s">
        <v>56</v>
      </c>
      <c r="Z51" t="s">
        <v>246</v>
      </c>
      <c r="AA51">
        <v>4437900</v>
      </c>
      <c r="AB51" t="s">
        <v>100</v>
      </c>
      <c r="AC51">
        <v>2</v>
      </c>
      <c r="AJ51" s="9" t="str">
        <f t="shared" si="0"/>
        <v>Sin respuesta</v>
      </c>
      <c r="AK51" s="10" t="str">
        <f t="shared" si="1"/>
        <v>Sin respuesta</v>
      </c>
      <c r="AP51"/>
    </row>
    <row r="52" spans="2:42" ht="60" hidden="1">
      <c r="B52">
        <v>4</v>
      </c>
      <c r="C52">
        <v>900461641</v>
      </c>
      <c r="D52" t="s">
        <v>414</v>
      </c>
      <c r="E52" t="s">
        <v>414</v>
      </c>
      <c r="F52">
        <v>900461641</v>
      </c>
      <c r="G52" t="s">
        <v>414</v>
      </c>
      <c r="H52" t="s">
        <v>415</v>
      </c>
      <c r="I52" t="s">
        <v>84</v>
      </c>
      <c r="J52" t="s">
        <v>47</v>
      </c>
      <c r="K52" t="s">
        <v>48</v>
      </c>
      <c r="L52">
        <v>175</v>
      </c>
      <c r="M52">
        <v>172</v>
      </c>
      <c r="N52">
        <v>173</v>
      </c>
      <c r="O52" t="s">
        <v>49</v>
      </c>
      <c r="P52" t="s">
        <v>85</v>
      </c>
      <c r="Q52" t="s">
        <v>416</v>
      </c>
      <c r="R52">
        <v>2024</v>
      </c>
      <c r="S52" t="s">
        <v>65</v>
      </c>
      <c r="T52" t="s">
        <v>417</v>
      </c>
      <c r="U52" s="8">
        <v>45390.400960648149</v>
      </c>
      <c r="V52" s="2" t="s">
        <v>418</v>
      </c>
      <c r="X52" t="s">
        <v>55</v>
      </c>
      <c r="Y52" t="s">
        <v>56</v>
      </c>
      <c r="Z52" t="s">
        <v>57</v>
      </c>
      <c r="AA52">
        <v>6027214643</v>
      </c>
      <c r="AB52" t="s">
        <v>419</v>
      </c>
      <c r="AC52">
        <v>3</v>
      </c>
      <c r="AJ52" s="9" t="str">
        <f t="shared" si="0"/>
        <v>Sin respuesta</v>
      </c>
      <c r="AK52" s="10" t="str">
        <f t="shared" si="1"/>
        <v>Sin respuesta</v>
      </c>
      <c r="AP52"/>
    </row>
    <row r="53" spans="2:42" ht="45" hidden="1">
      <c r="B53">
        <v>3</v>
      </c>
      <c r="C53">
        <v>77016093</v>
      </c>
      <c r="D53" t="s">
        <v>420</v>
      </c>
      <c r="E53" t="s">
        <v>421</v>
      </c>
      <c r="F53">
        <v>77016093</v>
      </c>
      <c r="G53" t="s">
        <v>421</v>
      </c>
      <c r="H53" t="s">
        <v>422</v>
      </c>
      <c r="I53" t="s">
        <v>423</v>
      </c>
      <c r="J53" t="s">
        <v>47</v>
      </c>
      <c r="K53" t="s">
        <v>48</v>
      </c>
      <c r="L53">
        <v>202</v>
      </c>
      <c r="M53">
        <v>194</v>
      </c>
      <c r="N53">
        <v>200</v>
      </c>
      <c r="O53" t="s">
        <v>48</v>
      </c>
      <c r="P53" t="s">
        <v>424</v>
      </c>
      <c r="Q53" t="s">
        <v>425</v>
      </c>
      <c r="R53">
        <v>2024</v>
      </c>
      <c r="S53" t="s">
        <v>65</v>
      </c>
      <c r="T53" t="s">
        <v>334</v>
      </c>
      <c r="U53" s="8">
        <v>45363.715636574074</v>
      </c>
      <c r="V53" s="2" t="s">
        <v>426</v>
      </c>
      <c r="X53" t="s">
        <v>55</v>
      </c>
      <c r="Y53" t="s">
        <v>56</v>
      </c>
      <c r="Z53" t="s">
        <v>57</v>
      </c>
      <c r="AA53">
        <v>7756766</v>
      </c>
      <c r="AB53" t="s">
        <v>427</v>
      </c>
      <c r="AC53">
        <v>2</v>
      </c>
      <c r="AJ53" s="9" t="str">
        <f t="shared" si="0"/>
        <v>Sin respuesta</v>
      </c>
      <c r="AK53" s="10" t="str">
        <f t="shared" si="1"/>
        <v>Sin respuesta</v>
      </c>
      <c r="AP53"/>
    </row>
    <row r="54" spans="2:42" ht="60" hidden="1">
      <c r="B54">
        <v>3</v>
      </c>
      <c r="C54">
        <v>901482950</v>
      </c>
      <c r="D54" t="s">
        <v>361</v>
      </c>
      <c r="E54" t="s">
        <v>362</v>
      </c>
      <c r="F54">
        <v>901482950</v>
      </c>
      <c r="G54" t="s">
        <v>362</v>
      </c>
      <c r="H54" t="s">
        <v>364</v>
      </c>
      <c r="I54" t="s">
        <v>365</v>
      </c>
      <c r="J54" t="s">
        <v>47</v>
      </c>
      <c r="K54" t="s">
        <v>48</v>
      </c>
      <c r="L54">
        <v>201</v>
      </c>
      <c r="M54">
        <v>194</v>
      </c>
      <c r="N54">
        <v>199</v>
      </c>
      <c r="O54" t="s">
        <v>62</v>
      </c>
      <c r="P54" t="s">
        <v>63</v>
      </c>
      <c r="Q54" t="s">
        <v>428</v>
      </c>
      <c r="R54">
        <v>2024</v>
      </c>
      <c r="S54" t="s">
        <v>65</v>
      </c>
      <c r="T54" t="s">
        <v>66</v>
      </c>
      <c r="U54" s="8">
        <v>45364.316319444442</v>
      </c>
      <c r="V54" s="2" t="s">
        <v>429</v>
      </c>
      <c r="X54" t="s">
        <v>55</v>
      </c>
      <c r="Y54" t="s">
        <v>56</v>
      </c>
      <c r="Z54" t="s">
        <v>57</v>
      </c>
      <c r="AA54">
        <v>3506921483</v>
      </c>
      <c r="AB54" t="s">
        <v>369</v>
      </c>
      <c r="AC54">
        <v>6</v>
      </c>
      <c r="AD54" s="2" t="s">
        <v>70</v>
      </c>
      <c r="AF54" t="s">
        <v>327</v>
      </c>
      <c r="AJ54" s="9" t="str">
        <f t="shared" si="0"/>
        <v>Sin respuesta</v>
      </c>
      <c r="AK54" s="10" t="str">
        <f t="shared" si="1"/>
        <v>Sin respuesta</v>
      </c>
      <c r="AN54" s="13" t="s">
        <v>328</v>
      </c>
      <c r="AP54"/>
    </row>
    <row r="55" spans="2:42" ht="60" hidden="1">
      <c r="B55">
        <v>3</v>
      </c>
      <c r="C55">
        <v>900203914</v>
      </c>
      <c r="D55" t="s">
        <v>430</v>
      </c>
      <c r="E55" t="s">
        <v>431</v>
      </c>
      <c r="F55">
        <v>900203914</v>
      </c>
      <c r="G55" t="s">
        <v>431</v>
      </c>
      <c r="H55" t="s">
        <v>432</v>
      </c>
      <c r="I55" t="s">
        <v>96</v>
      </c>
      <c r="J55" t="s">
        <v>47</v>
      </c>
      <c r="K55" t="s">
        <v>48</v>
      </c>
      <c r="L55">
        <v>201</v>
      </c>
      <c r="M55">
        <v>194</v>
      </c>
      <c r="N55">
        <v>199</v>
      </c>
      <c r="O55" t="s">
        <v>49</v>
      </c>
      <c r="P55" t="s">
        <v>97</v>
      </c>
      <c r="Q55" t="s">
        <v>433</v>
      </c>
      <c r="R55">
        <v>2024</v>
      </c>
      <c r="S55" t="s">
        <v>52</v>
      </c>
      <c r="T55" t="s">
        <v>53</v>
      </c>
      <c r="U55" s="8">
        <v>45364.335844907408</v>
      </c>
      <c r="V55" s="2" t="s">
        <v>434</v>
      </c>
      <c r="X55" t="s">
        <v>55</v>
      </c>
      <c r="Y55" t="s">
        <v>56</v>
      </c>
      <c r="Z55" t="s">
        <v>246</v>
      </c>
      <c r="AA55">
        <v>8833200</v>
      </c>
      <c r="AB55" t="s">
        <v>435</v>
      </c>
      <c r="AC55">
        <v>3</v>
      </c>
      <c r="AJ55" s="11" t="str">
        <f t="shared" si="0"/>
        <v>Sin respuesta</v>
      </c>
      <c r="AK55" s="12" t="str">
        <f t="shared" si="1"/>
        <v>Sin respuesta</v>
      </c>
      <c r="AP55"/>
    </row>
    <row r="56" spans="2:42" ht="45" hidden="1">
      <c r="B56">
        <v>3</v>
      </c>
      <c r="C56">
        <v>890912995</v>
      </c>
      <c r="D56" t="s">
        <v>269</v>
      </c>
      <c r="E56" t="s">
        <v>269</v>
      </c>
      <c r="F56">
        <v>890912995</v>
      </c>
      <c r="G56" t="s">
        <v>269</v>
      </c>
      <c r="H56" t="s">
        <v>270</v>
      </c>
      <c r="I56" t="s">
        <v>211</v>
      </c>
      <c r="J56" t="s">
        <v>47</v>
      </c>
      <c r="K56" t="s">
        <v>48</v>
      </c>
      <c r="L56">
        <v>201</v>
      </c>
      <c r="M56">
        <v>194</v>
      </c>
      <c r="N56">
        <v>199</v>
      </c>
      <c r="O56" t="s">
        <v>436</v>
      </c>
      <c r="P56" t="s">
        <v>63</v>
      </c>
      <c r="Q56" t="s">
        <v>437</v>
      </c>
      <c r="R56">
        <v>2024</v>
      </c>
      <c r="S56" t="s">
        <v>65</v>
      </c>
      <c r="T56" t="s">
        <v>66</v>
      </c>
      <c r="U56" s="8">
        <v>45364.354988425926</v>
      </c>
      <c r="V56" s="2" t="s">
        <v>438</v>
      </c>
      <c r="X56" t="s">
        <v>55</v>
      </c>
      <c r="Y56" t="s">
        <v>56</v>
      </c>
      <c r="Z56" t="s">
        <v>57</v>
      </c>
      <c r="AA56">
        <v>3220084</v>
      </c>
      <c r="AB56" t="s">
        <v>274</v>
      </c>
      <c r="AC56">
        <v>7</v>
      </c>
      <c r="AD56" s="14" t="s">
        <v>439</v>
      </c>
      <c r="AE56" s="15"/>
      <c r="AJ56" s="9" t="str">
        <f t="shared" si="0"/>
        <v>Sin respuesta</v>
      </c>
      <c r="AK56" s="10" t="str">
        <f t="shared" si="1"/>
        <v>Sin respuesta</v>
      </c>
      <c r="AN56" s="15" t="s">
        <v>440</v>
      </c>
      <c r="AP56"/>
    </row>
    <row r="57" spans="2:42" ht="45" hidden="1">
      <c r="B57">
        <v>3</v>
      </c>
      <c r="C57">
        <v>890800450</v>
      </c>
      <c r="D57" t="s">
        <v>224</v>
      </c>
      <c r="E57" t="s">
        <v>224</v>
      </c>
      <c r="F57">
        <v>890800450</v>
      </c>
      <c r="G57" t="s">
        <v>224</v>
      </c>
      <c r="H57" t="s">
        <v>226</v>
      </c>
      <c r="I57" t="s">
        <v>227</v>
      </c>
      <c r="J57" t="s">
        <v>114</v>
      </c>
      <c r="K57" t="s">
        <v>48</v>
      </c>
      <c r="L57">
        <v>201</v>
      </c>
      <c r="M57">
        <v>200</v>
      </c>
      <c r="N57">
        <v>199</v>
      </c>
      <c r="O57" t="s">
        <v>105</v>
      </c>
      <c r="P57" t="s">
        <v>228</v>
      </c>
      <c r="Q57" t="s">
        <v>441</v>
      </c>
      <c r="R57">
        <v>2024</v>
      </c>
      <c r="S57" t="s">
        <v>124</v>
      </c>
      <c r="T57" t="s">
        <v>284</v>
      </c>
      <c r="U57" s="8">
        <v>45364.681284722225</v>
      </c>
      <c r="V57" s="2" t="s">
        <v>442</v>
      </c>
      <c r="X57" t="s">
        <v>55</v>
      </c>
      <c r="Y57" t="s">
        <v>56</v>
      </c>
      <c r="Z57" t="s">
        <v>57</v>
      </c>
      <c r="AA57">
        <v>8930130</v>
      </c>
      <c r="AB57" t="s">
        <v>232</v>
      </c>
      <c r="AC57">
        <v>8</v>
      </c>
      <c r="AJ57" s="11" t="str">
        <f t="shared" si="0"/>
        <v>Sin respuesta</v>
      </c>
      <c r="AK57" s="12" t="str">
        <f t="shared" si="1"/>
        <v>Sin respuesta</v>
      </c>
      <c r="AP57"/>
    </row>
    <row r="58" spans="2:42" ht="60" hidden="1">
      <c r="B58">
        <v>3</v>
      </c>
      <c r="C58">
        <v>890800450</v>
      </c>
      <c r="D58" t="s">
        <v>224</v>
      </c>
      <c r="E58" t="s">
        <v>224</v>
      </c>
      <c r="F58">
        <v>890800450</v>
      </c>
      <c r="G58" t="s">
        <v>224</v>
      </c>
      <c r="H58" t="s">
        <v>226</v>
      </c>
      <c r="I58" t="s">
        <v>227</v>
      </c>
      <c r="J58" t="s">
        <v>114</v>
      </c>
      <c r="K58" t="s">
        <v>48</v>
      </c>
      <c r="L58">
        <v>200</v>
      </c>
      <c r="M58">
        <v>200</v>
      </c>
      <c r="N58">
        <v>198</v>
      </c>
      <c r="O58" t="s">
        <v>105</v>
      </c>
      <c r="P58" t="s">
        <v>228</v>
      </c>
      <c r="Q58" t="s">
        <v>443</v>
      </c>
      <c r="R58">
        <v>2024</v>
      </c>
      <c r="S58" t="s">
        <v>124</v>
      </c>
      <c r="T58" t="s">
        <v>284</v>
      </c>
      <c r="U58" s="8">
        <v>45365.356203703705</v>
      </c>
      <c r="V58" s="2" t="s">
        <v>444</v>
      </c>
      <c r="X58" t="s">
        <v>55</v>
      </c>
      <c r="Y58" t="s">
        <v>56</v>
      </c>
      <c r="Z58" t="s">
        <v>57</v>
      </c>
      <c r="AA58">
        <v>8930130</v>
      </c>
      <c r="AB58" t="s">
        <v>232</v>
      </c>
      <c r="AC58">
        <v>8</v>
      </c>
      <c r="AJ58" s="11" t="str">
        <f t="shared" si="0"/>
        <v>Sin respuesta</v>
      </c>
      <c r="AK58" s="12" t="str">
        <f t="shared" si="1"/>
        <v>Sin respuesta</v>
      </c>
      <c r="AP58"/>
    </row>
    <row r="59" spans="2:42" ht="60" hidden="1">
      <c r="B59">
        <v>4</v>
      </c>
      <c r="C59">
        <v>900747888</v>
      </c>
      <c r="D59" t="s">
        <v>445</v>
      </c>
      <c r="E59" t="s">
        <v>445</v>
      </c>
      <c r="F59">
        <v>900747888</v>
      </c>
      <c r="G59" t="s">
        <v>445</v>
      </c>
      <c r="H59" t="s">
        <v>446</v>
      </c>
      <c r="I59" t="s">
        <v>104</v>
      </c>
      <c r="J59" t="s">
        <v>47</v>
      </c>
      <c r="K59" t="s">
        <v>48</v>
      </c>
      <c r="L59">
        <v>178</v>
      </c>
      <c r="M59">
        <v>173</v>
      </c>
      <c r="N59">
        <v>176</v>
      </c>
      <c r="O59" t="s">
        <v>105</v>
      </c>
      <c r="P59" t="s">
        <v>106</v>
      </c>
      <c r="Q59" t="s">
        <v>447</v>
      </c>
      <c r="R59">
        <v>2024</v>
      </c>
      <c r="S59" t="s">
        <v>52</v>
      </c>
      <c r="T59" t="s">
        <v>440</v>
      </c>
      <c r="U59" s="8">
        <v>45387.646168981482</v>
      </c>
      <c r="V59" s="2" t="s">
        <v>448</v>
      </c>
      <c r="X59" t="s">
        <v>55</v>
      </c>
      <c r="Y59" t="s">
        <v>56</v>
      </c>
      <c r="Z59" t="s">
        <v>57</v>
      </c>
      <c r="AA59">
        <v>2640881</v>
      </c>
      <c r="AB59" t="s">
        <v>449</v>
      </c>
      <c r="AC59">
        <v>8</v>
      </c>
      <c r="AJ59" s="11" t="str">
        <f t="shared" si="0"/>
        <v>Sin respuesta</v>
      </c>
      <c r="AK59" s="12" t="str">
        <f t="shared" si="1"/>
        <v>Sin respuesta</v>
      </c>
      <c r="AP59"/>
    </row>
    <row r="60" spans="2:42" ht="30" hidden="1">
      <c r="B60">
        <v>3</v>
      </c>
      <c r="C60">
        <v>901482950</v>
      </c>
      <c r="D60" t="s">
        <v>361</v>
      </c>
      <c r="E60" t="s">
        <v>362</v>
      </c>
      <c r="F60">
        <v>901482950</v>
      </c>
      <c r="G60" t="s">
        <v>362</v>
      </c>
      <c r="H60" t="s">
        <v>364</v>
      </c>
      <c r="I60" t="s">
        <v>365</v>
      </c>
      <c r="J60" t="s">
        <v>114</v>
      </c>
      <c r="K60" t="s">
        <v>48</v>
      </c>
      <c r="L60">
        <v>196</v>
      </c>
      <c r="M60">
        <v>193</v>
      </c>
      <c r="N60">
        <v>194</v>
      </c>
      <c r="O60" t="s">
        <v>62</v>
      </c>
      <c r="P60" t="s">
        <v>63</v>
      </c>
      <c r="Q60" t="s">
        <v>450</v>
      </c>
      <c r="R60">
        <v>2024</v>
      </c>
      <c r="S60" t="s">
        <v>124</v>
      </c>
      <c r="T60" t="s">
        <v>284</v>
      </c>
      <c r="U60" s="8">
        <v>45369.475312499999</v>
      </c>
      <c r="V60" s="2" t="s">
        <v>451</v>
      </c>
      <c r="X60" t="s">
        <v>55</v>
      </c>
      <c r="Y60" t="s">
        <v>56</v>
      </c>
      <c r="Z60" t="s">
        <v>57</v>
      </c>
      <c r="AA60">
        <v>3506921483</v>
      </c>
      <c r="AB60" t="s">
        <v>369</v>
      </c>
      <c r="AC60">
        <v>6</v>
      </c>
      <c r="AD60" s="2" t="s">
        <v>70</v>
      </c>
      <c r="AF60" t="s">
        <v>327</v>
      </c>
      <c r="AJ60" s="11" t="str">
        <f t="shared" si="0"/>
        <v>Sin respuesta</v>
      </c>
      <c r="AK60" s="12" t="str">
        <f t="shared" si="1"/>
        <v>Sin respuesta</v>
      </c>
      <c r="AN60" s="13" t="s">
        <v>328</v>
      </c>
      <c r="AP60"/>
    </row>
    <row r="61" spans="2:42" ht="60" hidden="1">
      <c r="B61">
        <v>3</v>
      </c>
      <c r="C61">
        <v>1077425531</v>
      </c>
      <c r="D61" t="s">
        <v>452</v>
      </c>
      <c r="E61" t="s">
        <v>453</v>
      </c>
      <c r="F61">
        <v>1077425531</v>
      </c>
      <c r="G61" t="s">
        <v>453</v>
      </c>
      <c r="H61" t="s">
        <v>454</v>
      </c>
      <c r="I61" t="s">
        <v>455</v>
      </c>
      <c r="J61" t="s">
        <v>47</v>
      </c>
      <c r="K61" t="s">
        <v>48</v>
      </c>
      <c r="L61">
        <v>196</v>
      </c>
      <c r="M61">
        <v>179</v>
      </c>
      <c r="N61">
        <v>194</v>
      </c>
      <c r="O61" t="s">
        <v>49</v>
      </c>
      <c r="P61" t="s">
        <v>456</v>
      </c>
      <c r="Q61" t="s">
        <v>457</v>
      </c>
      <c r="R61">
        <v>2024</v>
      </c>
      <c r="S61" t="s">
        <v>124</v>
      </c>
      <c r="T61" t="s">
        <v>125</v>
      </c>
      <c r="U61" s="8">
        <v>45369.703310185185</v>
      </c>
      <c r="V61" s="2" t="s">
        <v>458</v>
      </c>
      <c r="X61" t="s">
        <v>55</v>
      </c>
      <c r="Y61" t="s">
        <v>56</v>
      </c>
      <c r="Z61" t="s">
        <v>57</v>
      </c>
      <c r="AA61">
        <v>3133255914</v>
      </c>
      <c r="AB61" t="s">
        <v>459</v>
      </c>
      <c r="AC61">
        <v>3</v>
      </c>
      <c r="AJ61" s="11" t="str">
        <f t="shared" si="0"/>
        <v>Sin respuesta</v>
      </c>
      <c r="AK61" s="12" t="str">
        <f t="shared" si="1"/>
        <v>Sin respuesta</v>
      </c>
      <c r="AP61"/>
    </row>
    <row r="62" spans="2:42" ht="60" hidden="1">
      <c r="B62">
        <v>4</v>
      </c>
      <c r="C62">
        <v>900512506</v>
      </c>
      <c r="D62" t="s">
        <v>460</v>
      </c>
      <c r="E62" t="s">
        <v>460</v>
      </c>
      <c r="F62">
        <v>90051206</v>
      </c>
      <c r="G62" t="s">
        <v>461</v>
      </c>
      <c r="H62" t="s">
        <v>462</v>
      </c>
      <c r="I62" t="s">
        <v>211</v>
      </c>
      <c r="J62" t="s">
        <v>47</v>
      </c>
      <c r="K62" t="s">
        <v>48</v>
      </c>
      <c r="L62">
        <v>173</v>
      </c>
      <c r="M62">
        <v>171</v>
      </c>
      <c r="N62">
        <v>171</v>
      </c>
      <c r="O62" t="s">
        <v>48</v>
      </c>
      <c r="P62" t="s">
        <v>63</v>
      </c>
      <c r="Q62" t="s">
        <v>463</v>
      </c>
      <c r="R62">
        <v>2024</v>
      </c>
      <c r="S62" t="s">
        <v>65</v>
      </c>
      <c r="T62" t="s">
        <v>293</v>
      </c>
      <c r="U62" s="8">
        <v>45392.496724537035</v>
      </c>
      <c r="V62" s="2" t="s">
        <v>464</v>
      </c>
      <c r="X62" t="s">
        <v>55</v>
      </c>
      <c r="Y62" t="s">
        <v>56</v>
      </c>
      <c r="Z62" t="s">
        <v>246</v>
      </c>
      <c r="AA62">
        <v>4449004</v>
      </c>
      <c r="AB62" t="s">
        <v>465</v>
      </c>
      <c r="AC62">
        <v>2</v>
      </c>
      <c r="AJ62" s="9" t="str">
        <f t="shared" si="0"/>
        <v>Sin respuesta</v>
      </c>
      <c r="AK62" s="10" t="str">
        <f t="shared" si="1"/>
        <v>Sin respuesta</v>
      </c>
      <c r="AP62"/>
    </row>
    <row r="63" spans="2:42" ht="45" hidden="1">
      <c r="B63">
        <v>3</v>
      </c>
      <c r="C63">
        <v>860012340</v>
      </c>
      <c r="D63" t="s">
        <v>466</v>
      </c>
      <c r="E63" t="s">
        <v>467</v>
      </c>
      <c r="F63">
        <v>860012340</v>
      </c>
      <c r="G63" t="s">
        <v>467</v>
      </c>
      <c r="H63" t="s">
        <v>468</v>
      </c>
      <c r="I63" t="s">
        <v>104</v>
      </c>
      <c r="J63" t="s">
        <v>114</v>
      </c>
      <c r="K63" t="s">
        <v>48</v>
      </c>
      <c r="L63">
        <v>195</v>
      </c>
      <c r="M63">
        <v>192</v>
      </c>
      <c r="N63">
        <v>193</v>
      </c>
      <c r="O63" t="s">
        <v>105</v>
      </c>
      <c r="P63" t="s">
        <v>106</v>
      </c>
      <c r="Q63" t="s">
        <v>469</v>
      </c>
      <c r="R63">
        <v>2024</v>
      </c>
      <c r="S63" t="s">
        <v>124</v>
      </c>
      <c r="T63" t="s">
        <v>470</v>
      </c>
      <c r="U63" s="8">
        <v>45370.353206018517</v>
      </c>
      <c r="V63" s="2" t="s">
        <v>471</v>
      </c>
      <c r="X63" t="s">
        <v>55</v>
      </c>
      <c r="Y63" t="s">
        <v>56</v>
      </c>
      <c r="Z63" t="s">
        <v>57</v>
      </c>
      <c r="AA63" t="s">
        <v>472</v>
      </c>
      <c r="AB63" t="s">
        <v>473</v>
      </c>
      <c r="AC63">
        <v>8</v>
      </c>
      <c r="AJ63" s="9" t="str">
        <f t="shared" si="0"/>
        <v>Sin respuesta</v>
      </c>
      <c r="AK63" s="10" t="str">
        <f t="shared" si="1"/>
        <v>Sin respuesta</v>
      </c>
      <c r="AP63"/>
    </row>
    <row r="64" spans="2:42" ht="60" hidden="1">
      <c r="B64">
        <v>3</v>
      </c>
      <c r="C64">
        <v>13378966</v>
      </c>
      <c r="D64" t="s">
        <v>474</v>
      </c>
      <c r="E64" t="s">
        <v>475</v>
      </c>
      <c r="F64">
        <v>13378966</v>
      </c>
      <c r="G64" t="s">
        <v>475</v>
      </c>
      <c r="H64" t="s">
        <v>476</v>
      </c>
      <c r="I64" t="s">
        <v>477</v>
      </c>
      <c r="J64" t="s">
        <v>47</v>
      </c>
      <c r="K64" t="s">
        <v>48</v>
      </c>
      <c r="L64">
        <v>195</v>
      </c>
      <c r="M64">
        <v>145</v>
      </c>
      <c r="N64">
        <v>193</v>
      </c>
      <c r="O64" t="s">
        <v>105</v>
      </c>
      <c r="P64" t="s">
        <v>478</v>
      </c>
      <c r="Q64" t="s">
        <v>479</v>
      </c>
      <c r="R64">
        <v>2024</v>
      </c>
      <c r="S64" t="s">
        <v>65</v>
      </c>
      <c r="T64" t="s">
        <v>66</v>
      </c>
      <c r="U64" s="8">
        <v>45370.359548611108</v>
      </c>
      <c r="V64" s="2" t="s">
        <v>480</v>
      </c>
      <c r="X64" t="s">
        <v>55</v>
      </c>
      <c r="Y64" t="s">
        <v>56</v>
      </c>
      <c r="Z64" t="s">
        <v>57</v>
      </c>
      <c r="AA64">
        <v>3126581101</v>
      </c>
      <c r="AB64" t="s">
        <v>481</v>
      </c>
      <c r="AC64">
        <v>8</v>
      </c>
      <c r="AJ64" s="11" t="str">
        <f t="shared" si="0"/>
        <v>Sin respuesta</v>
      </c>
      <c r="AK64" s="12" t="str">
        <f t="shared" si="1"/>
        <v>Sin respuesta</v>
      </c>
      <c r="AP64"/>
    </row>
    <row r="65" spans="2:42" ht="45" hidden="1">
      <c r="B65">
        <v>3</v>
      </c>
      <c r="C65">
        <v>890937010</v>
      </c>
      <c r="D65" t="s">
        <v>208</v>
      </c>
      <c r="E65" t="s">
        <v>208</v>
      </c>
      <c r="F65">
        <v>890937010</v>
      </c>
      <c r="G65" t="s">
        <v>208</v>
      </c>
      <c r="H65" t="s">
        <v>210</v>
      </c>
      <c r="I65" t="s">
        <v>211</v>
      </c>
      <c r="J65" t="s">
        <v>47</v>
      </c>
      <c r="K65" t="s">
        <v>48</v>
      </c>
      <c r="L65">
        <v>195</v>
      </c>
      <c r="M65">
        <v>194</v>
      </c>
      <c r="N65">
        <v>193</v>
      </c>
      <c r="O65" t="s">
        <v>48</v>
      </c>
      <c r="P65" t="s">
        <v>63</v>
      </c>
      <c r="Q65" t="s">
        <v>482</v>
      </c>
      <c r="R65">
        <v>2024</v>
      </c>
      <c r="S65" t="s">
        <v>65</v>
      </c>
      <c r="T65" t="s">
        <v>293</v>
      </c>
      <c r="U65" s="8">
        <v>45370.426550925928</v>
      </c>
      <c r="V65" s="2" t="s">
        <v>483</v>
      </c>
      <c r="X65" t="s">
        <v>55</v>
      </c>
      <c r="Y65" t="s">
        <v>56</v>
      </c>
      <c r="Z65" t="s">
        <v>57</v>
      </c>
      <c r="AA65">
        <v>4442388</v>
      </c>
      <c r="AB65" t="s">
        <v>214</v>
      </c>
      <c r="AC65">
        <v>2</v>
      </c>
      <c r="AJ65" s="11" t="str">
        <f t="shared" si="0"/>
        <v>Sin respuesta</v>
      </c>
      <c r="AK65" s="12" t="str">
        <f t="shared" si="1"/>
        <v>Sin respuesta</v>
      </c>
      <c r="AP65"/>
    </row>
    <row r="66" spans="2:42" ht="45" hidden="1">
      <c r="B66">
        <v>3</v>
      </c>
      <c r="C66">
        <v>901398835</v>
      </c>
      <c r="D66" t="s">
        <v>484</v>
      </c>
      <c r="E66" t="s">
        <v>484</v>
      </c>
      <c r="F66">
        <v>901398835</v>
      </c>
      <c r="G66" t="s">
        <v>485</v>
      </c>
      <c r="H66" t="s">
        <v>486</v>
      </c>
      <c r="I66" t="s">
        <v>104</v>
      </c>
      <c r="J66" t="s">
        <v>47</v>
      </c>
      <c r="K66" t="s">
        <v>48</v>
      </c>
      <c r="L66">
        <v>195</v>
      </c>
      <c r="M66">
        <v>194</v>
      </c>
      <c r="N66">
        <v>193</v>
      </c>
      <c r="O66" t="s">
        <v>105</v>
      </c>
      <c r="P66" t="s">
        <v>106</v>
      </c>
      <c r="Q66" t="s">
        <v>487</v>
      </c>
      <c r="R66">
        <v>2024</v>
      </c>
      <c r="S66" t="s">
        <v>52</v>
      </c>
      <c r="T66" t="s">
        <v>440</v>
      </c>
      <c r="U66" s="8">
        <v>45370.519652777781</v>
      </c>
      <c r="V66" s="2" t="s">
        <v>488</v>
      </c>
      <c r="X66" t="s">
        <v>55</v>
      </c>
      <c r="Y66" t="s">
        <v>56</v>
      </c>
      <c r="Z66" t="s">
        <v>246</v>
      </c>
      <c r="AA66">
        <v>3713766</v>
      </c>
      <c r="AB66" t="s">
        <v>489</v>
      </c>
      <c r="AC66">
        <v>8</v>
      </c>
      <c r="AJ66" s="9" t="str">
        <f t="shared" si="0"/>
        <v>Sin respuesta</v>
      </c>
      <c r="AK66" s="10" t="str">
        <f t="shared" si="1"/>
        <v>Sin respuesta</v>
      </c>
      <c r="AP66"/>
    </row>
    <row r="67" spans="2:42" ht="45" hidden="1">
      <c r="B67">
        <v>3</v>
      </c>
      <c r="C67">
        <v>808002135</v>
      </c>
      <c r="D67" t="s">
        <v>287</v>
      </c>
      <c r="E67" t="s">
        <v>287</v>
      </c>
      <c r="F67">
        <v>808002135</v>
      </c>
      <c r="G67" t="s">
        <v>490</v>
      </c>
      <c r="H67" t="s">
        <v>289</v>
      </c>
      <c r="I67" t="s">
        <v>290</v>
      </c>
      <c r="J67" t="s">
        <v>47</v>
      </c>
      <c r="K67" t="s">
        <v>48</v>
      </c>
      <c r="L67">
        <v>195</v>
      </c>
      <c r="M67">
        <v>194</v>
      </c>
      <c r="N67">
        <v>193</v>
      </c>
      <c r="O67" t="s">
        <v>105</v>
      </c>
      <c r="P67" t="s">
        <v>291</v>
      </c>
      <c r="Q67" t="s">
        <v>491</v>
      </c>
      <c r="R67">
        <v>2024</v>
      </c>
      <c r="S67" t="s">
        <v>52</v>
      </c>
      <c r="T67" t="s">
        <v>440</v>
      </c>
      <c r="U67" s="8">
        <v>45370.628831018519</v>
      </c>
      <c r="V67" s="2" t="s">
        <v>492</v>
      </c>
      <c r="X67" t="s">
        <v>55</v>
      </c>
      <c r="Y67" t="s">
        <v>56</v>
      </c>
      <c r="Z67" t="s">
        <v>246</v>
      </c>
      <c r="AA67">
        <v>8676427</v>
      </c>
      <c r="AB67" t="s">
        <v>295</v>
      </c>
      <c r="AC67">
        <v>8</v>
      </c>
      <c r="AJ67" s="11" t="str">
        <f t="shared" ref="AJ67:AJ130" si="2">IF(AI67="","Sin respuesta",NETWORKDAYS.INTL(X67,AI67,1))</f>
        <v>Sin respuesta</v>
      </c>
      <c r="AK67" s="12" t="str">
        <f t="shared" ref="AK67:AK130" si="3">IF(AJ67="Sin respuesta","Sin respuesta",IF(AJ67&lt;10,"SÏ","No"))</f>
        <v>Sin respuesta</v>
      </c>
      <c r="AP67"/>
    </row>
    <row r="68" spans="2:42" ht="30" hidden="1">
      <c r="B68">
        <v>3</v>
      </c>
      <c r="C68">
        <v>800255589</v>
      </c>
      <c r="D68" t="s">
        <v>493</v>
      </c>
      <c r="E68" t="s">
        <v>493</v>
      </c>
      <c r="F68">
        <v>800255589</v>
      </c>
      <c r="G68" t="s">
        <v>493</v>
      </c>
      <c r="H68" t="s">
        <v>494</v>
      </c>
      <c r="I68" t="s">
        <v>197</v>
      </c>
      <c r="J68" t="s">
        <v>47</v>
      </c>
      <c r="K68" t="s">
        <v>48</v>
      </c>
      <c r="L68">
        <v>195</v>
      </c>
      <c r="M68">
        <v>194</v>
      </c>
      <c r="N68">
        <v>193</v>
      </c>
      <c r="O68" t="s">
        <v>48</v>
      </c>
      <c r="P68" t="s">
        <v>198</v>
      </c>
      <c r="Q68" t="s">
        <v>495</v>
      </c>
      <c r="R68">
        <v>2024</v>
      </c>
      <c r="S68" t="s">
        <v>65</v>
      </c>
      <c r="T68" t="s">
        <v>334</v>
      </c>
      <c r="U68" s="8">
        <v>45370.65216435185</v>
      </c>
      <c r="V68" s="2" t="s">
        <v>496</v>
      </c>
      <c r="X68" t="s">
        <v>55</v>
      </c>
      <c r="Y68" t="s">
        <v>56</v>
      </c>
      <c r="Z68" t="s">
        <v>57</v>
      </c>
      <c r="AA68">
        <v>4216883</v>
      </c>
      <c r="AB68" t="s">
        <v>497</v>
      </c>
      <c r="AC68">
        <v>2</v>
      </c>
      <c r="AJ68" s="11" t="str">
        <f t="shared" si="2"/>
        <v>Sin respuesta</v>
      </c>
      <c r="AK68" s="12" t="str">
        <f t="shared" si="3"/>
        <v>Sin respuesta</v>
      </c>
      <c r="AP68"/>
    </row>
    <row r="69" spans="2:42" ht="45" hidden="1">
      <c r="B69">
        <v>3</v>
      </c>
      <c r="C69">
        <v>860012340</v>
      </c>
      <c r="D69" t="s">
        <v>466</v>
      </c>
      <c r="E69" t="s">
        <v>467</v>
      </c>
      <c r="F69">
        <v>860012340</v>
      </c>
      <c r="G69" t="s">
        <v>467</v>
      </c>
      <c r="H69" t="s">
        <v>468</v>
      </c>
      <c r="I69" t="s">
        <v>104</v>
      </c>
      <c r="J69" t="s">
        <v>114</v>
      </c>
      <c r="K69" t="s">
        <v>48</v>
      </c>
      <c r="L69">
        <v>194</v>
      </c>
      <c r="M69">
        <v>192</v>
      </c>
      <c r="N69">
        <v>192</v>
      </c>
      <c r="O69" t="s">
        <v>105</v>
      </c>
      <c r="P69" t="s">
        <v>106</v>
      </c>
      <c r="Q69" t="s">
        <v>498</v>
      </c>
      <c r="R69">
        <v>2024</v>
      </c>
      <c r="S69" t="s">
        <v>124</v>
      </c>
      <c r="T69" t="s">
        <v>470</v>
      </c>
      <c r="U69" s="8">
        <v>45371.360925925925</v>
      </c>
      <c r="V69" s="2" t="s">
        <v>499</v>
      </c>
      <c r="X69" t="s">
        <v>55</v>
      </c>
      <c r="Y69" t="s">
        <v>56</v>
      </c>
      <c r="Z69" t="s">
        <v>57</v>
      </c>
      <c r="AA69" t="s">
        <v>472</v>
      </c>
      <c r="AB69" t="s">
        <v>473</v>
      </c>
      <c r="AC69">
        <v>8</v>
      </c>
      <c r="AJ69" s="9" t="str">
        <f t="shared" si="2"/>
        <v>Sin respuesta</v>
      </c>
      <c r="AK69" s="10" t="str">
        <f t="shared" si="3"/>
        <v>Sin respuesta</v>
      </c>
      <c r="AP69"/>
    </row>
    <row r="70" spans="2:42" ht="45" hidden="1">
      <c r="B70">
        <v>3</v>
      </c>
      <c r="C70">
        <v>1214716725</v>
      </c>
      <c r="D70" t="s">
        <v>500</v>
      </c>
      <c r="E70" t="s">
        <v>501</v>
      </c>
      <c r="F70">
        <v>1214716725</v>
      </c>
      <c r="G70" t="s">
        <v>501</v>
      </c>
      <c r="H70" t="s">
        <v>502</v>
      </c>
      <c r="I70" t="s">
        <v>503</v>
      </c>
      <c r="J70" t="s">
        <v>47</v>
      </c>
      <c r="K70" t="s">
        <v>48</v>
      </c>
      <c r="L70">
        <v>194</v>
      </c>
      <c r="M70">
        <v>158</v>
      </c>
      <c r="N70">
        <v>192</v>
      </c>
      <c r="O70" t="s">
        <v>105</v>
      </c>
      <c r="P70" t="s">
        <v>85</v>
      </c>
      <c r="Q70" t="s">
        <v>504</v>
      </c>
      <c r="R70">
        <v>2024</v>
      </c>
      <c r="S70" t="s">
        <v>65</v>
      </c>
      <c r="T70" t="s">
        <v>66</v>
      </c>
      <c r="U70" s="8">
        <v>45371.373032407406</v>
      </c>
      <c r="V70" s="2" t="s">
        <v>505</v>
      </c>
      <c r="X70" t="s">
        <v>55</v>
      </c>
      <c r="Y70" t="s">
        <v>56</v>
      </c>
      <c r="Z70" t="s">
        <v>57</v>
      </c>
      <c r="AA70">
        <v>5730082</v>
      </c>
      <c r="AB70" t="s">
        <v>506</v>
      </c>
      <c r="AC70">
        <v>8</v>
      </c>
      <c r="AJ70" s="11" t="str">
        <f t="shared" si="2"/>
        <v>Sin respuesta</v>
      </c>
      <c r="AK70" s="12" t="str">
        <f t="shared" si="3"/>
        <v>Sin respuesta</v>
      </c>
      <c r="AP70"/>
    </row>
    <row r="71" spans="2:42" ht="60" hidden="1">
      <c r="B71">
        <v>3</v>
      </c>
      <c r="C71">
        <v>1045107399</v>
      </c>
      <c r="D71" t="s">
        <v>507</v>
      </c>
      <c r="E71" t="s">
        <v>507</v>
      </c>
      <c r="F71">
        <v>1045107399</v>
      </c>
      <c r="G71" t="s">
        <v>508</v>
      </c>
      <c r="H71" t="s">
        <v>509</v>
      </c>
      <c r="I71" t="s">
        <v>510</v>
      </c>
      <c r="J71" t="s">
        <v>47</v>
      </c>
      <c r="K71" t="s">
        <v>48</v>
      </c>
      <c r="L71">
        <v>193</v>
      </c>
      <c r="M71">
        <v>192</v>
      </c>
      <c r="N71">
        <v>191</v>
      </c>
      <c r="O71" t="s">
        <v>49</v>
      </c>
      <c r="P71" t="s">
        <v>63</v>
      </c>
      <c r="Q71" t="s">
        <v>511</v>
      </c>
      <c r="R71">
        <v>2024</v>
      </c>
      <c r="S71" t="s">
        <v>52</v>
      </c>
      <c r="T71" t="s">
        <v>53</v>
      </c>
      <c r="U71" s="8">
        <v>45372.610034722224</v>
      </c>
      <c r="V71" s="2" t="s">
        <v>512</v>
      </c>
      <c r="X71" t="s">
        <v>55</v>
      </c>
      <c r="Y71" t="s">
        <v>56</v>
      </c>
      <c r="Z71" t="s">
        <v>57</v>
      </c>
      <c r="AA71">
        <v>8654022</v>
      </c>
      <c r="AB71" t="s">
        <v>513</v>
      </c>
      <c r="AC71">
        <v>3</v>
      </c>
      <c r="AJ71" s="11" t="str">
        <f t="shared" si="2"/>
        <v>Sin respuesta</v>
      </c>
      <c r="AK71" s="12" t="str">
        <f t="shared" si="3"/>
        <v>Sin respuesta</v>
      </c>
      <c r="AP71"/>
    </row>
    <row r="72" spans="2:42" ht="45" hidden="1">
      <c r="B72">
        <v>3</v>
      </c>
      <c r="C72">
        <v>15378042</v>
      </c>
      <c r="D72" t="s">
        <v>514</v>
      </c>
      <c r="E72" t="s">
        <v>515</v>
      </c>
      <c r="F72">
        <v>15378042</v>
      </c>
      <c r="G72" t="s">
        <v>515</v>
      </c>
      <c r="H72" t="s">
        <v>516</v>
      </c>
      <c r="I72" t="s">
        <v>517</v>
      </c>
      <c r="J72" t="s">
        <v>47</v>
      </c>
      <c r="K72" t="s">
        <v>48</v>
      </c>
      <c r="L72">
        <v>192</v>
      </c>
      <c r="M72">
        <v>192</v>
      </c>
      <c r="N72">
        <v>190</v>
      </c>
      <c r="O72" t="s">
        <v>48</v>
      </c>
      <c r="P72" t="s">
        <v>63</v>
      </c>
      <c r="Q72" t="s">
        <v>518</v>
      </c>
      <c r="R72">
        <v>2024</v>
      </c>
      <c r="S72" t="s">
        <v>65</v>
      </c>
      <c r="T72" t="s">
        <v>334</v>
      </c>
      <c r="U72" s="8">
        <v>45373.317800925928</v>
      </c>
      <c r="V72" s="2" t="s">
        <v>519</v>
      </c>
      <c r="X72" t="s">
        <v>55</v>
      </c>
      <c r="Y72" t="s">
        <v>56</v>
      </c>
      <c r="Z72" t="s">
        <v>57</v>
      </c>
      <c r="AA72">
        <v>5531705</v>
      </c>
      <c r="AB72" t="s">
        <v>520</v>
      </c>
      <c r="AC72">
        <v>2</v>
      </c>
      <c r="AJ72" s="9" t="str">
        <f t="shared" si="2"/>
        <v>Sin respuesta</v>
      </c>
      <c r="AK72" s="10" t="str">
        <f t="shared" si="3"/>
        <v>Sin respuesta</v>
      </c>
      <c r="AP72"/>
    </row>
    <row r="73" spans="2:42" ht="75" hidden="1">
      <c r="B73">
        <v>3</v>
      </c>
      <c r="C73">
        <v>71084225</v>
      </c>
      <c r="D73" t="s">
        <v>521</v>
      </c>
      <c r="E73" t="s">
        <v>522</v>
      </c>
      <c r="F73">
        <v>71084225</v>
      </c>
      <c r="G73" t="s">
        <v>522</v>
      </c>
      <c r="H73" t="s">
        <v>523</v>
      </c>
      <c r="I73" t="s">
        <v>510</v>
      </c>
      <c r="J73" t="s">
        <v>47</v>
      </c>
      <c r="K73" t="s">
        <v>48</v>
      </c>
      <c r="L73">
        <v>192</v>
      </c>
      <c r="M73">
        <v>192</v>
      </c>
      <c r="N73">
        <v>190</v>
      </c>
      <c r="O73" t="s">
        <v>49</v>
      </c>
      <c r="P73" t="s">
        <v>63</v>
      </c>
      <c r="Q73" t="s">
        <v>524</v>
      </c>
      <c r="R73">
        <v>2024</v>
      </c>
      <c r="S73" t="s">
        <v>65</v>
      </c>
      <c r="T73" t="s">
        <v>125</v>
      </c>
      <c r="U73" s="8">
        <v>45373.37427083333</v>
      </c>
      <c r="V73" s="2" t="s">
        <v>525</v>
      </c>
      <c r="X73" t="s">
        <v>55</v>
      </c>
      <c r="Y73" t="s">
        <v>56</v>
      </c>
      <c r="Z73" t="s">
        <v>57</v>
      </c>
      <c r="AA73">
        <v>2640326</v>
      </c>
      <c r="AB73" t="s">
        <v>526</v>
      </c>
      <c r="AC73">
        <v>3</v>
      </c>
      <c r="AJ73" s="9" t="str">
        <f t="shared" si="2"/>
        <v>Sin respuesta</v>
      </c>
      <c r="AK73" s="10" t="str">
        <f t="shared" si="3"/>
        <v>Sin respuesta</v>
      </c>
      <c r="AP73"/>
    </row>
    <row r="74" spans="2:42" ht="60" hidden="1">
      <c r="B74">
        <v>3</v>
      </c>
      <c r="C74">
        <v>890918965</v>
      </c>
      <c r="D74" t="s">
        <v>527</v>
      </c>
      <c r="E74" t="s">
        <v>527</v>
      </c>
      <c r="F74">
        <v>890918965</v>
      </c>
      <c r="G74" t="s">
        <v>527</v>
      </c>
      <c r="H74" t="s">
        <v>528</v>
      </c>
      <c r="I74" t="s">
        <v>197</v>
      </c>
      <c r="J74" t="s">
        <v>47</v>
      </c>
      <c r="K74" t="s">
        <v>48</v>
      </c>
      <c r="L74">
        <v>192</v>
      </c>
      <c r="M74">
        <v>192</v>
      </c>
      <c r="N74">
        <v>190</v>
      </c>
      <c r="O74" t="s">
        <v>49</v>
      </c>
      <c r="P74" t="s">
        <v>198</v>
      </c>
      <c r="Q74" t="s">
        <v>529</v>
      </c>
      <c r="R74">
        <v>2024</v>
      </c>
      <c r="S74" t="s">
        <v>65</v>
      </c>
      <c r="T74" t="s">
        <v>417</v>
      </c>
      <c r="U74" s="8">
        <v>45373.42800925926</v>
      </c>
      <c r="V74" s="2" t="s">
        <v>530</v>
      </c>
      <c r="X74" t="s">
        <v>55</v>
      </c>
      <c r="Y74" t="s">
        <v>56</v>
      </c>
      <c r="Z74" t="s">
        <v>57</v>
      </c>
      <c r="AA74">
        <v>4329973</v>
      </c>
      <c r="AB74" t="s">
        <v>531</v>
      </c>
      <c r="AC74">
        <v>3</v>
      </c>
      <c r="AJ74" s="9" t="str">
        <f t="shared" si="2"/>
        <v>Sin respuesta</v>
      </c>
      <c r="AK74" s="10" t="str">
        <f t="shared" si="3"/>
        <v>Sin respuesta</v>
      </c>
      <c r="AP74"/>
    </row>
    <row r="75" spans="2:42" ht="45" hidden="1">
      <c r="B75">
        <v>3</v>
      </c>
      <c r="C75">
        <v>901577413</v>
      </c>
      <c r="D75" t="s">
        <v>532</v>
      </c>
      <c r="E75" t="s">
        <v>532</v>
      </c>
      <c r="F75">
        <v>901577413</v>
      </c>
      <c r="G75" t="s">
        <v>532</v>
      </c>
      <c r="H75" t="s">
        <v>533</v>
      </c>
      <c r="I75" t="s">
        <v>534</v>
      </c>
      <c r="J75" t="s">
        <v>47</v>
      </c>
      <c r="K75" t="s">
        <v>48</v>
      </c>
      <c r="L75">
        <v>192</v>
      </c>
      <c r="M75">
        <v>192</v>
      </c>
      <c r="N75">
        <v>190</v>
      </c>
      <c r="O75" t="s">
        <v>49</v>
      </c>
      <c r="P75" t="s">
        <v>535</v>
      </c>
      <c r="Q75" t="s">
        <v>536</v>
      </c>
      <c r="R75">
        <v>2024</v>
      </c>
      <c r="S75" t="s">
        <v>124</v>
      </c>
      <c r="T75" t="s">
        <v>537</v>
      </c>
      <c r="U75" s="8">
        <v>45373.481539351851</v>
      </c>
      <c r="V75" s="2" t="s">
        <v>538</v>
      </c>
      <c r="X75" t="s">
        <v>55</v>
      </c>
      <c r="Y75" t="s">
        <v>56</v>
      </c>
      <c r="Z75" t="s">
        <v>57</v>
      </c>
      <c r="AA75">
        <v>3105900475</v>
      </c>
      <c r="AB75" t="s">
        <v>539</v>
      </c>
      <c r="AC75">
        <v>3</v>
      </c>
      <c r="AJ75" s="9" t="str">
        <f t="shared" si="2"/>
        <v>Sin respuesta</v>
      </c>
      <c r="AK75" s="10" t="str">
        <f t="shared" si="3"/>
        <v>Sin respuesta</v>
      </c>
      <c r="AP75"/>
    </row>
    <row r="76" spans="2:42" ht="45" hidden="1">
      <c r="B76">
        <v>3</v>
      </c>
      <c r="C76">
        <v>70288033</v>
      </c>
      <c r="D76" t="s">
        <v>540</v>
      </c>
      <c r="E76" t="s">
        <v>540</v>
      </c>
      <c r="F76">
        <v>70288033</v>
      </c>
      <c r="G76" t="s">
        <v>540</v>
      </c>
      <c r="H76" t="s">
        <v>541</v>
      </c>
      <c r="I76" t="s">
        <v>542</v>
      </c>
      <c r="J76" t="s">
        <v>47</v>
      </c>
      <c r="K76" t="s">
        <v>48</v>
      </c>
      <c r="L76">
        <v>192</v>
      </c>
      <c r="M76">
        <v>192</v>
      </c>
      <c r="N76">
        <v>190</v>
      </c>
      <c r="O76" t="s">
        <v>48</v>
      </c>
      <c r="P76" t="s">
        <v>63</v>
      </c>
      <c r="Q76" t="s">
        <v>543</v>
      </c>
      <c r="R76">
        <v>2024</v>
      </c>
      <c r="S76" t="s">
        <v>65</v>
      </c>
      <c r="T76" t="s">
        <v>77</v>
      </c>
      <c r="U76" s="8">
        <v>45373.517048611109</v>
      </c>
      <c r="V76" s="2" t="s">
        <v>544</v>
      </c>
      <c r="X76" t="s">
        <v>55</v>
      </c>
      <c r="Y76" t="s">
        <v>56</v>
      </c>
      <c r="Z76" t="s">
        <v>57</v>
      </c>
      <c r="AA76">
        <v>5484022</v>
      </c>
      <c r="AB76" t="s">
        <v>545</v>
      </c>
      <c r="AC76">
        <v>2</v>
      </c>
      <c r="AJ76" s="9" t="str">
        <f t="shared" si="2"/>
        <v>Sin respuesta</v>
      </c>
      <c r="AK76" s="10" t="str">
        <f t="shared" si="3"/>
        <v>Sin respuesta</v>
      </c>
      <c r="AP76"/>
    </row>
    <row r="77" spans="2:42" ht="30" hidden="1">
      <c r="B77">
        <v>3</v>
      </c>
      <c r="C77">
        <v>16549133</v>
      </c>
      <c r="D77" t="s">
        <v>546</v>
      </c>
      <c r="E77" t="s">
        <v>547</v>
      </c>
      <c r="F77">
        <v>16549133</v>
      </c>
      <c r="G77" t="s">
        <v>547</v>
      </c>
      <c r="H77" t="s">
        <v>548</v>
      </c>
      <c r="I77" t="s">
        <v>549</v>
      </c>
      <c r="J77" t="s">
        <v>47</v>
      </c>
      <c r="K77" t="s">
        <v>48</v>
      </c>
      <c r="L77">
        <v>192</v>
      </c>
      <c r="M77">
        <v>173</v>
      </c>
      <c r="N77">
        <v>190</v>
      </c>
      <c r="O77" t="s">
        <v>48</v>
      </c>
      <c r="P77" t="s">
        <v>97</v>
      </c>
      <c r="Q77" t="s">
        <v>550</v>
      </c>
      <c r="R77">
        <v>2024</v>
      </c>
      <c r="S77" t="s">
        <v>65</v>
      </c>
      <c r="T77" t="s">
        <v>334</v>
      </c>
      <c r="U77" s="8">
        <v>45373.526539351849</v>
      </c>
      <c r="V77" s="2" t="s">
        <v>551</v>
      </c>
      <c r="X77" t="s">
        <v>55</v>
      </c>
      <c r="Y77" t="s">
        <v>56</v>
      </c>
      <c r="Z77" t="s">
        <v>57</v>
      </c>
      <c r="AA77">
        <v>2298973</v>
      </c>
      <c r="AB77" t="s">
        <v>552</v>
      </c>
      <c r="AC77">
        <v>2</v>
      </c>
      <c r="AJ77" s="9" t="str">
        <f t="shared" si="2"/>
        <v>Sin respuesta</v>
      </c>
      <c r="AK77" s="10" t="str">
        <f t="shared" si="3"/>
        <v>Sin respuesta</v>
      </c>
      <c r="AP77"/>
    </row>
    <row r="78" spans="2:42" ht="75" hidden="1">
      <c r="B78">
        <v>3</v>
      </c>
      <c r="C78">
        <v>890932940</v>
      </c>
      <c r="D78" t="s">
        <v>553</v>
      </c>
      <c r="E78" t="s">
        <v>554</v>
      </c>
      <c r="F78">
        <v>890932940</v>
      </c>
      <c r="G78" t="s">
        <v>555</v>
      </c>
      <c r="H78" t="s">
        <v>556</v>
      </c>
      <c r="I78" t="s">
        <v>160</v>
      </c>
      <c r="J78" t="s">
        <v>114</v>
      </c>
      <c r="K78" t="s">
        <v>48</v>
      </c>
      <c r="L78">
        <v>192</v>
      </c>
      <c r="M78">
        <v>188</v>
      </c>
      <c r="N78">
        <v>190</v>
      </c>
      <c r="O78" t="s">
        <v>49</v>
      </c>
      <c r="P78" t="s">
        <v>63</v>
      </c>
      <c r="Q78" t="s">
        <v>557</v>
      </c>
      <c r="R78">
        <v>2024</v>
      </c>
      <c r="S78" t="s">
        <v>52</v>
      </c>
      <c r="T78" t="s">
        <v>116</v>
      </c>
      <c r="U78" s="8">
        <v>45373.590231481481</v>
      </c>
      <c r="V78" s="2" t="s">
        <v>558</v>
      </c>
      <c r="X78" t="s">
        <v>55</v>
      </c>
      <c r="Y78" t="s">
        <v>56</v>
      </c>
      <c r="Z78" t="s">
        <v>246</v>
      </c>
      <c r="AA78">
        <v>4440340</v>
      </c>
      <c r="AB78" t="s">
        <v>559</v>
      </c>
      <c r="AC78">
        <v>3</v>
      </c>
      <c r="AJ78" s="9" t="str">
        <f t="shared" si="2"/>
        <v>Sin respuesta</v>
      </c>
      <c r="AK78" s="10" t="str">
        <f t="shared" si="3"/>
        <v>Sin respuesta</v>
      </c>
      <c r="AP78"/>
    </row>
    <row r="79" spans="2:42" ht="45" hidden="1">
      <c r="B79">
        <v>3</v>
      </c>
      <c r="C79">
        <v>70142980</v>
      </c>
      <c r="D79" t="s">
        <v>560</v>
      </c>
      <c r="E79" t="s">
        <v>561</v>
      </c>
      <c r="F79">
        <v>70142980</v>
      </c>
      <c r="G79" t="s">
        <v>561</v>
      </c>
      <c r="H79" t="s">
        <v>562</v>
      </c>
      <c r="I79" t="s">
        <v>61</v>
      </c>
      <c r="J79" t="s">
        <v>47</v>
      </c>
      <c r="K79" t="s">
        <v>48</v>
      </c>
      <c r="L79">
        <v>192</v>
      </c>
      <c r="M79">
        <v>188</v>
      </c>
      <c r="N79">
        <v>190</v>
      </c>
      <c r="O79" t="s">
        <v>48</v>
      </c>
      <c r="P79" t="s">
        <v>265</v>
      </c>
      <c r="Q79" t="s">
        <v>563</v>
      </c>
      <c r="R79">
        <v>2024</v>
      </c>
      <c r="S79" t="s">
        <v>65</v>
      </c>
      <c r="T79" t="s">
        <v>77</v>
      </c>
      <c r="U79" s="8">
        <v>45373.631655092591</v>
      </c>
      <c r="V79" s="2" t="s">
        <v>564</v>
      </c>
      <c r="X79" t="s">
        <v>55</v>
      </c>
      <c r="Y79" t="s">
        <v>56</v>
      </c>
      <c r="Z79" t="s">
        <v>57</v>
      </c>
      <c r="AA79">
        <v>8393030</v>
      </c>
      <c r="AB79" t="s">
        <v>565</v>
      </c>
      <c r="AC79">
        <v>2</v>
      </c>
      <c r="AJ79" s="9" t="str">
        <f t="shared" si="2"/>
        <v>Sin respuesta</v>
      </c>
      <c r="AK79" s="10" t="str">
        <f t="shared" si="3"/>
        <v>Sin respuesta</v>
      </c>
      <c r="AP79"/>
    </row>
    <row r="80" spans="2:42" ht="60" hidden="1">
      <c r="B80">
        <v>3</v>
      </c>
      <c r="C80">
        <v>800255589</v>
      </c>
      <c r="D80" t="s">
        <v>493</v>
      </c>
      <c r="E80" t="s">
        <v>493</v>
      </c>
      <c r="F80">
        <v>800255589</v>
      </c>
      <c r="G80" t="s">
        <v>566</v>
      </c>
      <c r="H80" t="s">
        <v>494</v>
      </c>
      <c r="I80" t="s">
        <v>197</v>
      </c>
      <c r="J80" t="s">
        <v>47</v>
      </c>
      <c r="K80" t="s">
        <v>48</v>
      </c>
      <c r="L80">
        <v>192</v>
      </c>
      <c r="M80">
        <v>187</v>
      </c>
      <c r="N80">
        <v>190</v>
      </c>
      <c r="O80" t="s">
        <v>105</v>
      </c>
      <c r="P80" t="s">
        <v>198</v>
      </c>
      <c r="Q80" t="s">
        <v>567</v>
      </c>
      <c r="R80">
        <v>2024</v>
      </c>
      <c r="S80" t="s">
        <v>52</v>
      </c>
      <c r="T80" t="s">
        <v>440</v>
      </c>
      <c r="U80" s="8">
        <v>45373.683703703704</v>
      </c>
      <c r="V80" s="2" t="s">
        <v>568</v>
      </c>
      <c r="X80" t="s">
        <v>55</v>
      </c>
      <c r="Y80" t="s">
        <v>56</v>
      </c>
      <c r="Z80" t="s">
        <v>246</v>
      </c>
      <c r="AA80">
        <v>4216883</v>
      </c>
      <c r="AB80" t="s">
        <v>497</v>
      </c>
      <c r="AC80">
        <v>8</v>
      </c>
      <c r="AJ80" s="9" t="str">
        <f t="shared" si="2"/>
        <v>Sin respuesta</v>
      </c>
      <c r="AK80" s="10" t="str">
        <f t="shared" si="3"/>
        <v>Sin respuesta</v>
      </c>
      <c r="AP80"/>
    </row>
    <row r="81" spans="2:43" ht="75" hidden="1">
      <c r="B81">
        <v>4</v>
      </c>
      <c r="C81">
        <v>900747888</v>
      </c>
      <c r="D81" t="s">
        <v>445</v>
      </c>
      <c r="E81" t="s">
        <v>445</v>
      </c>
      <c r="F81">
        <v>900747888</v>
      </c>
      <c r="G81" t="s">
        <v>445</v>
      </c>
      <c r="H81" t="s">
        <v>446</v>
      </c>
      <c r="I81" t="s">
        <v>104</v>
      </c>
      <c r="J81" t="s">
        <v>47</v>
      </c>
      <c r="K81" t="s">
        <v>48</v>
      </c>
      <c r="L81">
        <v>178</v>
      </c>
      <c r="M81">
        <v>173</v>
      </c>
      <c r="N81">
        <v>176</v>
      </c>
      <c r="O81" t="s">
        <v>105</v>
      </c>
      <c r="P81" t="s">
        <v>106</v>
      </c>
      <c r="Q81" t="s">
        <v>569</v>
      </c>
      <c r="R81">
        <v>2024</v>
      </c>
      <c r="S81" t="s">
        <v>52</v>
      </c>
      <c r="T81" t="s">
        <v>440</v>
      </c>
      <c r="U81" s="8">
        <v>45387.637395833335</v>
      </c>
      <c r="V81" s="2" t="s">
        <v>570</v>
      </c>
      <c r="X81" t="s">
        <v>55</v>
      </c>
      <c r="Y81" t="s">
        <v>56</v>
      </c>
      <c r="Z81" t="s">
        <v>57</v>
      </c>
      <c r="AA81">
        <v>2640881</v>
      </c>
      <c r="AB81" t="s">
        <v>449</v>
      </c>
      <c r="AC81">
        <v>8</v>
      </c>
      <c r="AJ81" s="11" t="str">
        <f t="shared" si="2"/>
        <v>Sin respuesta</v>
      </c>
      <c r="AK81" s="12" t="str">
        <f t="shared" si="3"/>
        <v>Sin respuesta</v>
      </c>
      <c r="AP81"/>
    </row>
    <row r="82" spans="2:43" ht="45" hidden="1">
      <c r="B82">
        <v>3</v>
      </c>
      <c r="C82">
        <v>82270164</v>
      </c>
      <c r="D82" t="s">
        <v>571</v>
      </c>
      <c r="E82" t="s">
        <v>572</v>
      </c>
      <c r="F82">
        <v>82270164</v>
      </c>
      <c r="G82" t="s">
        <v>573</v>
      </c>
      <c r="H82" t="s">
        <v>574</v>
      </c>
      <c r="I82" t="s">
        <v>455</v>
      </c>
      <c r="J82" t="s">
        <v>114</v>
      </c>
      <c r="K82" t="s">
        <v>48</v>
      </c>
      <c r="L82">
        <v>188</v>
      </c>
      <c r="M82">
        <v>181</v>
      </c>
      <c r="N82">
        <v>186</v>
      </c>
      <c r="O82" t="s">
        <v>105</v>
      </c>
      <c r="P82" t="s">
        <v>349</v>
      </c>
      <c r="Q82" t="s">
        <v>575</v>
      </c>
      <c r="R82">
        <v>2024</v>
      </c>
      <c r="S82" t="s">
        <v>124</v>
      </c>
      <c r="T82" t="s">
        <v>284</v>
      </c>
      <c r="U82" s="8">
        <v>45377.443391203706</v>
      </c>
      <c r="V82" s="2" t="s">
        <v>576</v>
      </c>
      <c r="X82" t="s">
        <v>55</v>
      </c>
      <c r="Y82" t="s">
        <v>56</v>
      </c>
      <c r="Z82" t="s">
        <v>57</v>
      </c>
      <c r="AA82">
        <v>3122868405</v>
      </c>
      <c r="AB82" t="s">
        <v>577</v>
      </c>
      <c r="AC82">
        <v>8</v>
      </c>
      <c r="AJ82" s="11" t="str">
        <f t="shared" si="2"/>
        <v>Sin respuesta</v>
      </c>
      <c r="AK82" s="12" t="str">
        <f t="shared" si="3"/>
        <v>Sin respuesta</v>
      </c>
      <c r="AP82"/>
    </row>
    <row r="83" spans="2:43" ht="60" hidden="1">
      <c r="B83">
        <v>3</v>
      </c>
      <c r="C83">
        <v>900377436</v>
      </c>
      <c r="D83" t="s">
        <v>578</v>
      </c>
      <c r="E83" t="s">
        <v>578</v>
      </c>
      <c r="F83">
        <v>900377436</v>
      </c>
      <c r="G83" t="s">
        <v>578</v>
      </c>
      <c r="H83" t="s">
        <v>579</v>
      </c>
      <c r="I83" t="s">
        <v>46</v>
      </c>
      <c r="J83" t="s">
        <v>47</v>
      </c>
      <c r="K83" t="s">
        <v>48</v>
      </c>
      <c r="L83">
        <v>188</v>
      </c>
      <c r="M83">
        <v>179</v>
      </c>
      <c r="N83">
        <v>186</v>
      </c>
      <c r="O83" t="s">
        <v>62</v>
      </c>
      <c r="P83" t="s">
        <v>50</v>
      </c>
      <c r="Q83" t="s">
        <v>580</v>
      </c>
      <c r="R83">
        <v>2024</v>
      </c>
      <c r="S83" t="s">
        <v>52</v>
      </c>
      <c r="T83" t="s">
        <v>440</v>
      </c>
      <c r="U83" s="8">
        <v>45377.470439814817</v>
      </c>
      <c r="V83" s="2" t="s">
        <v>581</v>
      </c>
      <c r="X83" t="s">
        <v>55</v>
      </c>
      <c r="Y83" t="s">
        <v>56</v>
      </c>
      <c r="Z83" t="s">
        <v>57</v>
      </c>
      <c r="AA83">
        <v>3675100</v>
      </c>
      <c r="AB83" t="s">
        <v>582</v>
      </c>
      <c r="AC83">
        <v>6</v>
      </c>
      <c r="AD83" s="2" t="s">
        <v>439</v>
      </c>
      <c r="AJ83" s="11" t="str">
        <f t="shared" si="2"/>
        <v>Sin respuesta</v>
      </c>
      <c r="AK83" s="12" t="str">
        <f t="shared" si="3"/>
        <v>Sin respuesta</v>
      </c>
      <c r="AP83"/>
    </row>
    <row r="84" spans="2:43" ht="45" hidden="1">
      <c r="B84">
        <v>4</v>
      </c>
      <c r="C84">
        <v>900210866</v>
      </c>
      <c r="D84" t="s">
        <v>583</v>
      </c>
      <c r="E84" t="s">
        <v>583</v>
      </c>
      <c r="F84">
        <v>900210866</v>
      </c>
      <c r="G84" t="s">
        <v>584</v>
      </c>
      <c r="H84" t="s">
        <v>585</v>
      </c>
      <c r="I84" t="s">
        <v>104</v>
      </c>
      <c r="J84" t="s">
        <v>47</v>
      </c>
      <c r="K84" t="s">
        <v>48</v>
      </c>
      <c r="L84">
        <v>182</v>
      </c>
      <c r="M84">
        <v>172</v>
      </c>
      <c r="N84">
        <v>180</v>
      </c>
      <c r="O84" t="s">
        <v>436</v>
      </c>
      <c r="P84" t="s">
        <v>106</v>
      </c>
      <c r="Q84" t="s">
        <v>586</v>
      </c>
      <c r="R84">
        <v>2024</v>
      </c>
      <c r="S84" t="s">
        <v>65</v>
      </c>
      <c r="T84" t="s">
        <v>66</v>
      </c>
      <c r="U84" s="8">
        <v>45383.622604166667</v>
      </c>
      <c r="V84" s="2" t="s">
        <v>587</v>
      </c>
      <c r="X84" t="s">
        <v>55</v>
      </c>
      <c r="Y84" t="s">
        <v>56</v>
      </c>
      <c r="Z84" t="s">
        <v>57</v>
      </c>
      <c r="AA84">
        <v>7425408</v>
      </c>
      <c r="AB84" t="s">
        <v>588</v>
      </c>
      <c r="AC84">
        <v>7</v>
      </c>
      <c r="AD84" s="14" t="s">
        <v>589</v>
      </c>
      <c r="AE84" s="15" t="s">
        <v>590</v>
      </c>
      <c r="AF84" t="s">
        <v>591</v>
      </c>
      <c r="AG84" s="15" t="s">
        <v>592</v>
      </c>
      <c r="AH84" t="s">
        <v>55</v>
      </c>
      <c r="AI84" t="s">
        <v>593</v>
      </c>
      <c r="AJ84" s="11" t="e">
        <f t="shared" si="2"/>
        <v>#VALUE!</v>
      </c>
      <c r="AK84" s="12" t="e">
        <f t="shared" si="3"/>
        <v>#VALUE!</v>
      </c>
      <c r="AL84" t="s">
        <v>594</v>
      </c>
      <c r="AM84" t="s">
        <v>595</v>
      </c>
      <c r="AN84" s="15" t="s">
        <v>596</v>
      </c>
      <c r="AO84" s="15" t="s">
        <v>597</v>
      </c>
      <c r="AP84">
        <f>201535</f>
        <v>201535</v>
      </c>
      <c r="AQ84" s="14" t="s">
        <v>598</v>
      </c>
    </row>
    <row r="85" spans="2:43" ht="60" hidden="1">
      <c r="B85">
        <v>4</v>
      </c>
      <c r="C85">
        <v>890901298</v>
      </c>
      <c r="D85" t="s">
        <v>599</v>
      </c>
      <c r="E85" t="s">
        <v>599</v>
      </c>
      <c r="F85">
        <v>890901298</v>
      </c>
      <c r="G85" t="s">
        <v>599</v>
      </c>
      <c r="H85" t="s">
        <v>600</v>
      </c>
      <c r="I85" t="s">
        <v>601</v>
      </c>
      <c r="J85" t="s">
        <v>47</v>
      </c>
      <c r="K85" t="s">
        <v>48</v>
      </c>
      <c r="L85">
        <v>181</v>
      </c>
      <c r="M85">
        <v>172</v>
      </c>
      <c r="N85">
        <v>179</v>
      </c>
      <c r="O85" t="s">
        <v>436</v>
      </c>
      <c r="P85" t="s">
        <v>63</v>
      </c>
      <c r="Q85" t="s">
        <v>602</v>
      </c>
      <c r="R85">
        <v>2024</v>
      </c>
      <c r="S85" t="s">
        <v>65</v>
      </c>
      <c r="T85" t="s">
        <v>66</v>
      </c>
      <c r="U85" s="8">
        <v>45384.412789351853</v>
      </c>
      <c r="V85" s="2" t="s">
        <v>603</v>
      </c>
      <c r="X85" t="s">
        <v>55</v>
      </c>
      <c r="Y85" t="s">
        <v>56</v>
      </c>
      <c r="Z85" t="s">
        <v>57</v>
      </c>
      <c r="AA85">
        <v>4449191</v>
      </c>
      <c r="AB85" t="s">
        <v>604</v>
      </c>
      <c r="AC85">
        <v>7</v>
      </c>
      <c r="AD85" s="14" t="s">
        <v>589</v>
      </c>
      <c r="AE85" s="15" t="s">
        <v>605</v>
      </c>
      <c r="AF85" t="s">
        <v>606</v>
      </c>
      <c r="AG85" s="15" t="s">
        <v>592</v>
      </c>
      <c r="AH85" t="s">
        <v>55</v>
      </c>
      <c r="AI85" s="8">
        <v>45412</v>
      </c>
      <c r="AJ85" s="11" t="e">
        <f t="shared" si="2"/>
        <v>#VALUE!</v>
      </c>
      <c r="AK85" s="12" t="e">
        <f t="shared" si="3"/>
        <v>#VALUE!</v>
      </c>
      <c r="AL85" t="s">
        <v>594</v>
      </c>
      <c r="AM85" t="s">
        <v>607</v>
      </c>
      <c r="AN85" s="15" t="s">
        <v>608</v>
      </c>
      <c r="AP85">
        <f>239827+540339</f>
        <v>780166</v>
      </c>
      <c r="AQ85" s="14" t="s">
        <v>598</v>
      </c>
    </row>
    <row r="86" spans="2:43" ht="45" hidden="1">
      <c r="B86">
        <v>4</v>
      </c>
      <c r="C86">
        <v>846004044</v>
      </c>
      <c r="D86" t="s">
        <v>609</v>
      </c>
      <c r="E86" t="s">
        <v>609</v>
      </c>
      <c r="F86">
        <v>846004044</v>
      </c>
      <c r="G86" t="s">
        <v>609</v>
      </c>
      <c r="H86" t="s">
        <v>610</v>
      </c>
      <c r="I86" t="s">
        <v>611</v>
      </c>
      <c r="J86" t="s">
        <v>47</v>
      </c>
      <c r="K86" t="s">
        <v>48</v>
      </c>
      <c r="L86">
        <v>179</v>
      </c>
      <c r="M86">
        <v>179</v>
      </c>
      <c r="N86">
        <v>177</v>
      </c>
      <c r="O86" t="s">
        <v>49</v>
      </c>
      <c r="P86" t="s">
        <v>612</v>
      </c>
      <c r="Q86" t="s">
        <v>613</v>
      </c>
      <c r="R86">
        <v>2024</v>
      </c>
      <c r="S86" t="s">
        <v>65</v>
      </c>
      <c r="T86" t="s">
        <v>125</v>
      </c>
      <c r="U86" s="8">
        <v>45386.44258101852</v>
      </c>
      <c r="V86" s="2" t="s">
        <v>614</v>
      </c>
      <c r="X86" t="s">
        <v>55</v>
      </c>
      <c r="Y86" t="s">
        <v>56</v>
      </c>
      <c r="Z86" t="s">
        <v>57</v>
      </c>
      <c r="AA86">
        <v>4220745</v>
      </c>
      <c r="AB86" t="s">
        <v>615</v>
      </c>
      <c r="AC86">
        <v>3</v>
      </c>
      <c r="AJ86" s="11" t="str">
        <f t="shared" si="2"/>
        <v>Sin respuesta</v>
      </c>
      <c r="AK86" s="12" t="str">
        <f t="shared" si="3"/>
        <v>Sin respuesta</v>
      </c>
      <c r="AP86"/>
    </row>
    <row r="87" spans="2:43" ht="75" hidden="1">
      <c r="B87">
        <v>4</v>
      </c>
      <c r="C87">
        <v>900747888</v>
      </c>
      <c r="D87" t="s">
        <v>445</v>
      </c>
      <c r="E87" t="s">
        <v>445</v>
      </c>
      <c r="F87">
        <v>900747888</v>
      </c>
      <c r="G87" t="s">
        <v>445</v>
      </c>
      <c r="H87" t="s">
        <v>446</v>
      </c>
      <c r="I87" t="s">
        <v>104</v>
      </c>
      <c r="J87" t="s">
        <v>47</v>
      </c>
      <c r="K87" t="s">
        <v>48</v>
      </c>
      <c r="L87">
        <v>179</v>
      </c>
      <c r="M87">
        <v>178</v>
      </c>
      <c r="N87">
        <v>177</v>
      </c>
      <c r="O87" t="s">
        <v>105</v>
      </c>
      <c r="P87" t="s">
        <v>106</v>
      </c>
      <c r="Q87" t="s">
        <v>616</v>
      </c>
      <c r="R87">
        <v>2024</v>
      </c>
      <c r="S87" t="s">
        <v>52</v>
      </c>
      <c r="T87" t="s">
        <v>440</v>
      </c>
      <c r="U87" s="8">
        <v>45386.450462962966</v>
      </c>
      <c r="V87" s="2" t="s">
        <v>617</v>
      </c>
      <c r="X87" t="s">
        <v>55</v>
      </c>
      <c r="Y87" t="s">
        <v>368</v>
      </c>
      <c r="Z87" t="s">
        <v>57</v>
      </c>
      <c r="AA87">
        <v>2640881</v>
      </c>
      <c r="AB87" t="s">
        <v>449</v>
      </c>
      <c r="AC87">
        <v>8</v>
      </c>
      <c r="AJ87" s="9" t="str">
        <f t="shared" si="2"/>
        <v>Sin respuesta</v>
      </c>
      <c r="AK87" s="10" t="str">
        <f t="shared" si="3"/>
        <v>Sin respuesta</v>
      </c>
      <c r="AP87"/>
    </row>
    <row r="88" spans="2:43" ht="60" hidden="1">
      <c r="B88">
        <v>4</v>
      </c>
      <c r="C88">
        <v>70160738</v>
      </c>
      <c r="D88" t="s">
        <v>618</v>
      </c>
      <c r="E88" t="s">
        <v>619</v>
      </c>
      <c r="F88">
        <v>70160738</v>
      </c>
      <c r="G88" t="s">
        <v>619</v>
      </c>
      <c r="H88" t="s">
        <v>620</v>
      </c>
      <c r="I88" t="s">
        <v>264</v>
      </c>
      <c r="J88" t="s">
        <v>47</v>
      </c>
      <c r="K88" t="s">
        <v>48</v>
      </c>
      <c r="L88">
        <v>179</v>
      </c>
      <c r="M88">
        <v>175</v>
      </c>
      <c r="N88">
        <v>177</v>
      </c>
      <c r="O88" t="s">
        <v>48</v>
      </c>
      <c r="P88" t="s">
        <v>265</v>
      </c>
      <c r="Q88" t="s">
        <v>621</v>
      </c>
      <c r="R88">
        <v>2024</v>
      </c>
      <c r="S88" t="s">
        <v>65</v>
      </c>
      <c r="T88" t="s">
        <v>334</v>
      </c>
      <c r="U88" s="8">
        <v>45386.644305555557</v>
      </c>
      <c r="V88" s="2" t="s">
        <v>622</v>
      </c>
      <c r="X88" t="s">
        <v>55</v>
      </c>
      <c r="Y88" t="s">
        <v>56</v>
      </c>
      <c r="Z88" t="s">
        <v>57</v>
      </c>
      <c r="AA88">
        <v>3205672759</v>
      </c>
      <c r="AB88" t="s">
        <v>623</v>
      </c>
      <c r="AC88">
        <v>2</v>
      </c>
      <c r="AJ88" s="11" t="str">
        <f t="shared" si="2"/>
        <v>Sin respuesta</v>
      </c>
      <c r="AK88" s="12" t="str">
        <f t="shared" si="3"/>
        <v>Sin respuesta</v>
      </c>
      <c r="AP88"/>
    </row>
    <row r="89" spans="2:43" ht="60" hidden="1">
      <c r="B89">
        <v>4</v>
      </c>
      <c r="C89">
        <v>890931247</v>
      </c>
      <c r="D89" t="s">
        <v>624</v>
      </c>
      <c r="E89" t="s">
        <v>625</v>
      </c>
      <c r="F89">
        <v>71635652</v>
      </c>
      <c r="G89" t="s">
        <v>165</v>
      </c>
      <c r="H89" t="s">
        <v>626</v>
      </c>
      <c r="I89" t="s">
        <v>160</v>
      </c>
      <c r="J89" t="s">
        <v>47</v>
      </c>
      <c r="K89" t="s">
        <v>48</v>
      </c>
      <c r="L89">
        <v>171</v>
      </c>
      <c r="M89">
        <v>166</v>
      </c>
      <c r="N89">
        <v>169</v>
      </c>
      <c r="O89" t="s">
        <v>105</v>
      </c>
      <c r="P89" t="s">
        <v>63</v>
      </c>
      <c r="Q89" t="s">
        <v>627</v>
      </c>
      <c r="R89">
        <v>2024</v>
      </c>
      <c r="S89" t="s">
        <v>52</v>
      </c>
      <c r="T89" t="s">
        <v>440</v>
      </c>
      <c r="U89" s="8">
        <v>45394.69736111111</v>
      </c>
      <c r="V89" s="2" t="s">
        <v>628</v>
      </c>
      <c r="X89" t="s">
        <v>55</v>
      </c>
      <c r="Y89" t="s">
        <v>56</v>
      </c>
      <c r="Z89" t="s">
        <v>57</v>
      </c>
      <c r="AA89">
        <v>4480799</v>
      </c>
      <c r="AB89" t="s">
        <v>629</v>
      </c>
      <c r="AC89">
        <v>8</v>
      </c>
      <c r="AJ89" s="9" t="str">
        <f t="shared" si="2"/>
        <v>Sin respuesta</v>
      </c>
      <c r="AK89" s="10" t="str">
        <f t="shared" si="3"/>
        <v>Sin respuesta</v>
      </c>
      <c r="AP89"/>
    </row>
    <row r="90" spans="2:43" ht="60" hidden="1">
      <c r="B90">
        <v>4</v>
      </c>
      <c r="C90">
        <v>901373522</v>
      </c>
      <c r="D90" t="s">
        <v>630</v>
      </c>
      <c r="E90" t="s">
        <v>631</v>
      </c>
      <c r="F90" t="s">
        <v>632</v>
      </c>
      <c r="G90">
        <v>901373522</v>
      </c>
      <c r="H90" t="s">
        <v>633</v>
      </c>
      <c r="I90" t="s">
        <v>634</v>
      </c>
      <c r="J90" t="s">
        <v>47</v>
      </c>
      <c r="K90" t="s">
        <v>48</v>
      </c>
      <c r="L90">
        <v>168</v>
      </c>
      <c r="M90">
        <v>167</v>
      </c>
      <c r="N90">
        <v>166</v>
      </c>
      <c r="O90" t="s">
        <v>48</v>
      </c>
      <c r="P90" t="s">
        <v>63</v>
      </c>
      <c r="Q90" t="s">
        <v>635</v>
      </c>
      <c r="R90">
        <v>2024</v>
      </c>
      <c r="S90" t="s">
        <v>65</v>
      </c>
      <c r="T90" t="s">
        <v>293</v>
      </c>
      <c r="U90" s="8">
        <v>45397.672708333332</v>
      </c>
      <c r="V90" s="2" t="s">
        <v>636</v>
      </c>
      <c r="X90" t="s">
        <v>55</v>
      </c>
      <c r="Y90" t="s">
        <v>56</v>
      </c>
      <c r="Z90" t="s">
        <v>57</v>
      </c>
      <c r="AA90">
        <v>5560816</v>
      </c>
      <c r="AB90" t="s">
        <v>637</v>
      </c>
      <c r="AC90">
        <v>2</v>
      </c>
      <c r="AJ90" s="11" t="str">
        <f t="shared" si="2"/>
        <v>Sin respuesta</v>
      </c>
      <c r="AK90" s="12" t="str">
        <f t="shared" si="3"/>
        <v>Sin respuesta</v>
      </c>
      <c r="AP90"/>
    </row>
    <row r="91" spans="2:43" ht="90" hidden="1">
      <c r="B91">
        <v>4</v>
      </c>
      <c r="C91">
        <v>830016209</v>
      </c>
      <c r="D91" t="s">
        <v>638</v>
      </c>
      <c r="E91" t="s">
        <v>639</v>
      </c>
      <c r="F91">
        <v>830016209</v>
      </c>
      <c r="G91" t="s">
        <v>639</v>
      </c>
      <c r="H91" t="s">
        <v>640</v>
      </c>
      <c r="I91" t="s">
        <v>104</v>
      </c>
      <c r="J91" t="s">
        <v>47</v>
      </c>
      <c r="K91" t="s">
        <v>48</v>
      </c>
      <c r="L91">
        <v>166</v>
      </c>
      <c r="M91">
        <v>166</v>
      </c>
      <c r="N91">
        <v>164</v>
      </c>
      <c r="O91" t="s">
        <v>48</v>
      </c>
      <c r="P91" t="s">
        <v>106</v>
      </c>
      <c r="Q91" t="s">
        <v>641</v>
      </c>
      <c r="R91">
        <v>2024</v>
      </c>
      <c r="S91" t="s">
        <v>65</v>
      </c>
      <c r="T91" t="s">
        <v>642</v>
      </c>
      <c r="U91" s="8">
        <v>45399.37096064815</v>
      </c>
      <c r="V91" s="2" t="s">
        <v>643</v>
      </c>
      <c r="X91" t="s">
        <v>55</v>
      </c>
      <c r="Y91" t="s">
        <v>56</v>
      </c>
      <c r="Z91" t="s">
        <v>57</v>
      </c>
      <c r="AA91">
        <v>6018088329</v>
      </c>
      <c r="AB91" t="s">
        <v>644</v>
      </c>
      <c r="AC91">
        <v>2</v>
      </c>
      <c r="AJ91" s="9" t="str">
        <f t="shared" si="2"/>
        <v>Sin respuesta</v>
      </c>
      <c r="AK91" s="10" t="str">
        <f t="shared" si="3"/>
        <v>Sin respuesta</v>
      </c>
      <c r="AP91"/>
    </row>
    <row r="92" spans="2:43" ht="75" hidden="1">
      <c r="B92">
        <v>4</v>
      </c>
      <c r="C92">
        <v>91046104</v>
      </c>
      <c r="D92" t="s">
        <v>645</v>
      </c>
      <c r="E92" t="s">
        <v>646</v>
      </c>
      <c r="F92">
        <v>79691533</v>
      </c>
      <c r="G92" t="s">
        <v>73</v>
      </c>
      <c r="H92" t="s">
        <v>647</v>
      </c>
      <c r="I92" t="s">
        <v>264</v>
      </c>
      <c r="J92" t="s">
        <v>47</v>
      </c>
      <c r="K92" t="s">
        <v>48</v>
      </c>
      <c r="L92">
        <v>165</v>
      </c>
      <c r="M92">
        <v>150</v>
      </c>
      <c r="N92">
        <v>163</v>
      </c>
      <c r="O92" t="s">
        <v>48</v>
      </c>
      <c r="P92" t="s">
        <v>265</v>
      </c>
      <c r="Q92" t="s">
        <v>648</v>
      </c>
      <c r="R92">
        <v>2024</v>
      </c>
      <c r="S92" t="s">
        <v>65</v>
      </c>
      <c r="T92" t="s">
        <v>77</v>
      </c>
      <c r="U92" s="8">
        <v>45400.367800925924</v>
      </c>
      <c r="V92" s="2" t="s">
        <v>649</v>
      </c>
      <c r="X92" t="s">
        <v>55</v>
      </c>
      <c r="Y92" t="s">
        <v>56</v>
      </c>
      <c r="Z92" t="s">
        <v>57</v>
      </c>
      <c r="AA92">
        <v>7894719</v>
      </c>
      <c r="AB92" t="s">
        <v>650</v>
      </c>
      <c r="AC92">
        <v>2</v>
      </c>
      <c r="AJ92" s="9" t="str">
        <f t="shared" si="2"/>
        <v>Sin respuesta</v>
      </c>
      <c r="AK92" s="10" t="str">
        <f t="shared" si="3"/>
        <v>Sin respuesta</v>
      </c>
      <c r="AP92"/>
    </row>
    <row r="93" spans="2:43" ht="75" hidden="1">
      <c r="B93">
        <v>4</v>
      </c>
      <c r="C93">
        <v>901218867</v>
      </c>
      <c r="D93" t="s">
        <v>143</v>
      </c>
      <c r="E93" t="s">
        <v>144</v>
      </c>
      <c r="F93">
        <v>71744457</v>
      </c>
      <c r="G93" t="s">
        <v>145</v>
      </c>
      <c r="H93" t="s">
        <v>146</v>
      </c>
      <c r="I93" t="s">
        <v>46</v>
      </c>
      <c r="J93" t="s">
        <v>47</v>
      </c>
      <c r="K93" t="s">
        <v>48</v>
      </c>
      <c r="L93">
        <v>165</v>
      </c>
      <c r="M93">
        <v>145</v>
      </c>
      <c r="N93">
        <v>163</v>
      </c>
      <c r="O93" t="s">
        <v>48</v>
      </c>
      <c r="P93" t="s">
        <v>50</v>
      </c>
      <c r="Q93" t="s">
        <v>651</v>
      </c>
      <c r="R93">
        <v>2024</v>
      </c>
      <c r="S93" t="s">
        <v>65</v>
      </c>
      <c r="T93" t="s">
        <v>334</v>
      </c>
      <c r="U93" s="8">
        <v>45400.519386574073</v>
      </c>
      <c r="V93" s="2" t="s">
        <v>652</v>
      </c>
      <c r="X93" t="s">
        <v>55</v>
      </c>
      <c r="Y93" t="s">
        <v>56</v>
      </c>
      <c r="Z93" t="s">
        <v>57</v>
      </c>
      <c r="AA93">
        <v>5120323</v>
      </c>
      <c r="AB93" t="s">
        <v>150</v>
      </c>
      <c r="AC93">
        <v>2</v>
      </c>
      <c r="AJ93" s="9" t="str">
        <f t="shared" si="2"/>
        <v>Sin respuesta</v>
      </c>
      <c r="AK93" s="10" t="str">
        <f t="shared" si="3"/>
        <v>Sin respuesta</v>
      </c>
      <c r="AP93"/>
    </row>
    <row r="94" spans="2:43" ht="60" hidden="1">
      <c r="B94">
        <v>4</v>
      </c>
      <c r="C94">
        <v>15378042</v>
      </c>
      <c r="D94" t="s">
        <v>514</v>
      </c>
      <c r="E94" t="s">
        <v>515</v>
      </c>
      <c r="F94">
        <v>15378042</v>
      </c>
      <c r="G94" t="s">
        <v>653</v>
      </c>
      <c r="H94" t="s">
        <v>516</v>
      </c>
      <c r="I94" t="s">
        <v>517</v>
      </c>
      <c r="J94" t="s">
        <v>114</v>
      </c>
      <c r="K94" t="s">
        <v>48</v>
      </c>
      <c r="L94">
        <v>164</v>
      </c>
      <c r="M94">
        <v>157</v>
      </c>
      <c r="N94">
        <v>162</v>
      </c>
      <c r="O94" t="s">
        <v>436</v>
      </c>
      <c r="P94" t="s">
        <v>63</v>
      </c>
      <c r="Q94" t="s">
        <v>654</v>
      </c>
      <c r="R94">
        <v>2024</v>
      </c>
      <c r="S94" t="s">
        <v>124</v>
      </c>
      <c r="T94" t="s">
        <v>284</v>
      </c>
      <c r="U94" s="8">
        <v>45401.391238425924</v>
      </c>
      <c r="V94" s="2" t="s">
        <v>655</v>
      </c>
      <c r="X94" t="s">
        <v>55</v>
      </c>
      <c r="Y94" t="s">
        <v>56</v>
      </c>
      <c r="Z94" t="s">
        <v>57</v>
      </c>
      <c r="AA94">
        <v>5531705</v>
      </c>
      <c r="AB94" t="s">
        <v>520</v>
      </c>
      <c r="AC94">
        <v>7</v>
      </c>
      <c r="AD94" s="14" t="s">
        <v>439</v>
      </c>
      <c r="AE94" s="15"/>
      <c r="AJ94" s="9" t="str">
        <f t="shared" si="2"/>
        <v>Sin respuesta</v>
      </c>
      <c r="AK94" s="10" t="str">
        <f t="shared" si="3"/>
        <v>Sin respuesta</v>
      </c>
      <c r="AN94" s="15" t="s">
        <v>656</v>
      </c>
      <c r="AP94"/>
    </row>
    <row r="95" spans="2:43" ht="90" hidden="1">
      <c r="B95">
        <v>4</v>
      </c>
      <c r="C95">
        <v>800059832</v>
      </c>
      <c r="D95" t="s">
        <v>657</v>
      </c>
      <c r="E95" t="s">
        <v>658</v>
      </c>
      <c r="F95">
        <v>71744457</v>
      </c>
      <c r="G95" t="s">
        <v>145</v>
      </c>
      <c r="H95" t="s">
        <v>659</v>
      </c>
      <c r="I95" t="s">
        <v>211</v>
      </c>
      <c r="J95" t="s">
        <v>114</v>
      </c>
      <c r="K95" t="s">
        <v>48</v>
      </c>
      <c r="L95">
        <v>164</v>
      </c>
      <c r="M95">
        <v>161</v>
      </c>
      <c r="N95">
        <v>162</v>
      </c>
      <c r="O95" t="s">
        <v>48</v>
      </c>
      <c r="P95" t="s">
        <v>63</v>
      </c>
      <c r="Q95" t="s">
        <v>660</v>
      </c>
      <c r="R95">
        <v>2024</v>
      </c>
      <c r="S95" t="s">
        <v>52</v>
      </c>
      <c r="T95" t="s">
        <v>661</v>
      </c>
      <c r="U95" s="8">
        <v>45401.710949074077</v>
      </c>
      <c r="V95" s="2" t="s">
        <v>662</v>
      </c>
      <c r="X95" t="s">
        <v>55</v>
      </c>
      <c r="Y95" t="s">
        <v>56</v>
      </c>
      <c r="Z95" t="s">
        <v>57</v>
      </c>
      <c r="AA95">
        <v>4443390</v>
      </c>
      <c r="AB95" t="s">
        <v>663</v>
      </c>
      <c r="AC95">
        <v>2</v>
      </c>
      <c r="AJ95" s="11" t="str">
        <f t="shared" si="2"/>
        <v>Sin respuesta</v>
      </c>
      <c r="AK95" s="12" t="str">
        <f t="shared" si="3"/>
        <v>Sin respuesta</v>
      </c>
      <c r="AP95"/>
    </row>
    <row r="96" spans="2:43" ht="105" hidden="1">
      <c r="B96">
        <v>4</v>
      </c>
      <c r="C96">
        <v>9858750</v>
      </c>
      <c r="D96" t="s">
        <v>664</v>
      </c>
      <c r="E96" t="s">
        <v>664</v>
      </c>
      <c r="F96">
        <v>9858750</v>
      </c>
      <c r="G96" t="s">
        <v>664</v>
      </c>
      <c r="H96" t="s">
        <v>665</v>
      </c>
      <c r="I96" t="s">
        <v>666</v>
      </c>
      <c r="J96" t="s">
        <v>114</v>
      </c>
      <c r="K96" t="s">
        <v>48</v>
      </c>
      <c r="L96">
        <v>161</v>
      </c>
      <c r="M96">
        <v>161</v>
      </c>
      <c r="N96">
        <v>159</v>
      </c>
      <c r="O96" t="s">
        <v>48</v>
      </c>
      <c r="P96" t="s">
        <v>63</v>
      </c>
      <c r="Q96" t="s">
        <v>667</v>
      </c>
      <c r="R96">
        <v>2024</v>
      </c>
      <c r="S96" t="s">
        <v>124</v>
      </c>
      <c r="T96" t="s">
        <v>668</v>
      </c>
      <c r="U96" s="8">
        <v>45404.369733796295</v>
      </c>
      <c r="V96" s="2" t="s">
        <v>669</v>
      </c>
      <c r="X96" t="s">
        <v>55</v>
      </c>
      <c r="Y96" t="s">
        <v>56</v>
      </c>
      <c r="Z96" t="s">
        <v>57</v>
      </c>
      <c r="AA96">
        <v>3207261783</v>
      </c>
      <c r="AB96" t="s">
        <v>670</v>
      </c>
      <c r="AC96">
        <v>2</v>
      </c>
      <c r="AJ96" s="9" t="str">
        <f t="shared" si="2"/>
        <v>Sin respuesta</v>
      </c>
      <c r="AK96" s="10" t="str">
        <f t="shared" si="3"/>
        <v>Sin respuesta</v>
      </c>
      <c r="AP96"/>
    </row>
    <row r="97" spans="2:43" ht="60" hidden="1">
      <c r="B97">
        <v>4</v>
      </c>
      <c r="C97">
        <v>800052377</v>
      </c>
      <c r="D97" t="s">
        <v>671</v>
      </c>
      <c r="E97" t="s">
        <v>672</v>
      </c>
      <c r="F97">
        <v>31955078</v>
      </c>
      <c r="G97" t="s">
        <v>319</v>
      </c>
      <c r="H97" t="s">
        <v>673</v>
      </c>
      <c r="I97" t="s">
        <v>674</v>
      </c>
      <c r="J97" t="s">
        <v>114</v>
      </c>
      <c r="K97" t="s">
        <v>48</v>
      </c>
      <c r="L97">
        <v>160</v>
      </c>
      <c r="M97">
        <v>153</v>
      </c>
      <c r="N97">
        <v>158</v>
      </c>
      <c r="O97" t="s">
        <v>49</v>
      </c>
      <c r="P97" t="s">
        <v>97</v>
      </c>
      <c r="Q97" t="s">
        <v>675</v>
      </c>
      <c r="R97">
        <v>2024</v>
      </c>
      <c r="S97" t="s">
        <v>52</v>
      </c>
      <c r="T97" t="s">
        <v>116</v>
      </c>
      <c r="U97" s="8">
        <v>45405.42324074074</v>
      </c>
      <c r="V97" s="2" t="s">
        <v>676</v>
      </c>
      <c r="X97" t="s">
        <v>55</v>
      </c>
      <c r="Y97" t="s">
        <v>56</v>
      </c>
      <c r="Z97" t="s">
        <v>57</v>
      </c>
      <c r="AA97">
        <v>2363000</v>
      </c>
      <c r="AB97" t="s">
        <v>677</v>
      </c>
      <c r="AC97">
        <v>3</v>
      </c>
      <c r="AJ97" s="9" t="str">
        <f t="shared" si="2"/>
        <v>Sin respuesta</v>
      </c>
      <c r="AK97" s="10" t="str">
        <f t="shared" si="3"/>
        <v>Sin respuesta</v>
      </c>
      <c r="AP97"/>
    </row>
    <row r="98" spans="2:43" ht="60" hidden="1">
      <c r="B98">
        <v>4</v>
      </c>
      <c r="C98">
        <v>10172001</v>
      </c>
      <c r="D98" t="s">
        <v>678</v>
      </c>
      <c r="E98" t="s">
        <v>679</v>
      </c>
      <c r="F98">
        <v>10172001</v>
      </c>
      <c r="G98" t="s">
        <v>679</v>
      </c>
      <c r="H98" t="s">
        <v>680</v>
      </c>
      <c r="I98" t="s">
        <v>681</v>
      </c>
      <c r="J98" t="s">
        <v>47</v>
      </c>
      <c r="K98" t="s">
        <v>48</v>
      </c>
      <c r="L98">
        <v>160</v>
      </c>
      <c r="M98">
        <v>153</v>
      </c>
      <c r="N98">
        <v>158</v>
      </c>
      <c r="O98" t="s">
        <v>49</v>
      </c>
      <c r="P98" t="s">
        <v>228</v>
      </c>
      <c r="Q98" t="s">
        <v>682</v>
      </c>
      <c r="R98">
        <v>2024</v>
      </c>
      <c r="S98" t="s">
        <v>65</v>
      </c>
      <c r="T98" t="s">
        <v>125</v>
      </c>
      <c r="U98" s="8">
        <v>45405.541145833333</v>
      </c>
      <c r="V98" s="2" t="s">
        <v>683</v>
      </c>
      <c r="X98" t="s">
        <v>55</v>
      </c>
      <c r="Y98" t="s">
        <v>56</v>
      </c>
      <c r="Z98" t="s">
        <v>57</v>
      </c>
      <c r="AA98">
        <v>3114813031</v>
      </c>
      <c r="AB98" t="s">
        <v>684</v>
      </c>
      <c r="AC98">
        <v>3</v>
      </c>
      <c r="AJ98" s="9" t="str">
        <f t="shared" si="2"/>
        <v>Sin respuesta</v>
      </c>
      <c r="AK98" s="10" t="str">
        <f t="shared" si="3"/>
        <v>Sin respuesta</v>
      </c>
      <c r="AP98"/>
    </row>
    <row r="99" spans="2:43" ht="60" hidden="1">
      <c r="B99">
        <v>4</v>
      </c>
      <c r="C99">
        <v>890931247</v>
      </c>
      <c r="D99" t="s">
        <v>624</v>
      </c>
      <c r="E99" t="s">
        <v>625</v>
      </c>
      <c r="F99">
        <v>71635652</v>
      </c>
      <c r="G99" t="s">
        <v>165</v>
      </c>
      <c r="H99" t="s">
        <v>626</v>
      </c>
      <c r="I99" t="s">
        <v>160</v>
      </c>
      <c r="J99" t="s">
        <v>114</v>
      </c>
      <c r="K99" t="s">
        <v>48</v>
      </c>
      <c r="L99">
        <v>160</v>
      </c>
      <c r="M99">
        <v>154</v>
      </c>
      <c r="N99">
        <v>158</v>
      </c>
      <c r="O99" t="s">
        <v>62</v>
      </c>
      <c r="P99" t="s">
        <v>63</v>
      </c>
      <c r="Q99" t="s">
        <v>685</v>
      </c>
      <c r="R99">
        <v>2024</v>
      </c>
      <c r="S99" t="s">
        <v>124</v>
      </c>
      <c r="T99" t="s">
        <v>284</v>
      </c>
      <c r="U99" s="8">
        <v>45405.620243055557</v>
      </c>
      <c r="V99" s="2" t="s">
        <v>686</v>
      </c>
      <c r="X99" t="s">
        <v>55</v>
      </c>
      <c r="Y99" t="s">
        <v>56</v>
      </c>
      <c r="Z99" t="s">
        <v>57</v>
      </c>
      <c r="AA99">
        <v>4480799</v>
      </c>
      <c r="AB99" t="s">
        <v>629</v>
      </c>
      <c r="AC99">
        <v>6</v>
      </c>
      <c r="AD99" s="2" t="s">
        <v>70</v>
      </c>
      <c r="AF99" t="s">
        <v>687</v>
      </c>
      <c r="AJ99" s="9" t="str">
        <f t="shared" si="2"/>
        <v>Sin respuesta</v>
      </c>
      <c r="AK99" s="10" t="str">
        <f t="shared" si="3"/>
        <v>Sin respuesta</v>
      </c>
      <c r="AN99" s="13" t="s">
        <v>688</v>
      </c>
      <c r="AP99"/>
    </row>
    <row r="100" spans="2:43" ht="45" hidden="1">
      <c r="B100">
        <v>4</v>
      </c>
      <c r="C100">
        <v>890931247</v>
      </c>
      <c r="D100" t="s">
        <v>624</v>
      </c>
      <c r="E100" t="s">
        <v>625</v>
      </c>
      <c r="F100">
        <v>71635652</v>
      </c>
      <c r="G100" t="s">
        <v>165</v>
      </c>
      <c r="H100" t="s">
        <v>626</v>
      </c>
      <c r="I100" t="s">
        <v>160</v>
      </c>
      <c r="J100" t="s">
        <v>47</v>
      </c>
      <c r="K100" t="s">
        <v>48</v>
      </c>
      <c r="L100">
        <v>160</v>
      </c>
      <c r="M100">
        <v>157</v>
      </c>
      <c r="N100">
        <v>158</v>
      </c>
      <c r="O100" t="s">
        <v>48</v>
      </c>
      <c r="P100" t="s">
        <v>63</v>
      </c>
      <c r="Q100" t="s">
        <v>689</v>
      </c>
      <c r="R100">
        <v>2024</v>
      </c>
      <c r="S100" t="s">
        <v>65</v>
      </c>
      <c r="T100" t="s">
        <v>334</v>
      </c>
      <c r="U100" s="8">
        <v>45405.640914351854</v>
      </c>
      <c r="V100" s="2" t="s">
        <v>690</v>
      </c>
      <c r="X100" t="s">
        <v>55</v>
      </c>
      <c r="Y100" t="s">
        <v>368</v>
      </c>
      <c r="Z100" t="s">
        <v>57</v>
      </c>
      <c r="AA100">
        <v>4480799</v>
      </c>
      <c r="AB100" t="s">
        <v>629</v>
      </c>
      <c r="AC100">
        <v>2</v>
      </c>
      <c r="AJ100" s="11" t="str">
        <f t="shared" si="2"/>
        <v>Sin respuesta</v>
      </c>
      <c r="AK100" s="12" t="str">
        <f t="shared" si="3"/>
        <v>Sin respuesta</v>
      </c>
      <c r="AP100"/>
    </row>
    <row r="101" spans="2:43" ht="60" hidden="1">
      <c r="B101">
        <v>4</v>
      </c>
      <c r="C101">
        <v>80429126</v>
      </c>
      <c r="D101" t="s">
        <v>691</v>
      </c>
      <c r="E101" t="s">
        <v>691</v>
      </c>
      <c r="F101">
        <v>80429126</v>
      </c>
      <c r="G101" t="s">
        <v>691</v>
      </c>
      <c r="H101" t="s">
        <v>692</v>
      </c>
      <c r="I101" t="s">
        <v>693</v>
      </c>
      <c r="J101" t="s">
        <v>47</v>
      </c>
      <c r="K101" t="s">
        <v>48</v>
      </c>
      <c r="L101">
        <v>159</v>
      </c>
      <c r="M101">
        <v>157</v>
      </c>
      <c r="N101">
        <v>157</v>
      </c>
      <c r="O101" t="s">
        <v>49</v>
      </c>
      <c r="P101" t="s">
        <v>236</v>
      </c>
      <c r="Q101" t="s">
        <v>694</v>
      </c>
      <c r="R101">
        <v>2024</v>
      </c>
      <c r="S101" t="s">
        <v>124</v>
      </c>
      <c r="T101" t="s">
        <v>537</v>
      </c>
      <c r="U101" s="8">
        <v>45406.405138888891</v>
      </c>
      <c r="V101" s="2" t="s">
        <v>695</v>
      </c>
      <c r="X101" t="s">
        <v>55</v>
      </c>
      <c r="Y101" t="s">
        <v>56</v>
      </c>
      <c r="Z101" t="s">
        <v>57</v>
      </c>
      <c r="AA101">
        <v>2602197</v>
      </c>
      <c r="AB101" t="s">
        <v>696</v>
      </c>
      <c r="AC101">
        <v>3</v>
      </c>
      <c r="AJ101" s="9" t="str">
        <f t="shared" si="2"/>
        <v>Sin respuesta</v>
      </c>
      <c r="AK101" s="10" t="str">
        <f t="shared" si="3"/>
        <v>Sin respuesta</v>
      </c>
      <c r="AP101"/>
    </row>
    <row r="102" spans="2:43" ht="45" hidden="1">
      <c r="B102">
        <v>4</v>
      </c>
      <c r="C102">
        <v>890904478</v>
      </c>
      <c r="D102" t="s">
        <v>697</v>
      </c>
      <c r="E102" t="s">
        <v>697</v>
      </c>
      <c r="F102">
        <v>890904478</v>
      </c>
      <c r="G102" t="s">
        <v>698</v>
      </c>
      <c r="H102" t="s">
        <v>699</v>
      </c>
      <c r="I102" t="s">
        <v>542</v>
      </c>
      <c r="J102" t="s">
        <v>47</v>
      </c>
      <c r="K102" t="s">
        <v>48</v>
      </c>
      <c r="L102">
        <v>158</v>
      </c>
      <c r="M102">
        <v>157</v>
      </c>
      <c r="N102">
        <v>156</v>
      </c>
      <c r="O102" t="s">
        <v>48</v>
      </c>
      <c r="P102" t="s">
        <v>63</v>
      </c>
      <c r="Q102" t="s">
        <v>700</v>
      </c>
      <c r="R102">
        <v>2024</v>
      </c>
      <c r="S102" t="s">
        <v>65</v>
      </c>
      <c r="T102" t="s">
        <v>334</v>
      </c>
      <c r="U102" s="8">
        <v>45407.632048611114</v>
      </c>
      <c r="V102" s="2" t="s">
        <v>701</v>
      </c>
      <c r="X102" t="s">
        <v>55</v>
      </c>
      <c r="Y102" t="s">
        <v>56</v>
      </c>
      <c r="Z102" t="s">
        <v>57</v>
      </c>
      <c r="AA102">
        <v>4455555</v>
      </c>
      <c r="AB102" t="s">
        <v>702</v>
      </c>
      <c r="AC102">
        <v>2</v>
      </c>
      <c r="AJ102" s="9" t="str">
        <f t="shared" si="2"/>
        <v>Sin respuesta</v>
      </c>
      <c r="AK102" s="10" t="str">
        <f t="shared" si="3"/>
        <v>Sin respuesta</v>
      </c>
      <c r="AP102"/>
    </row>
    <row r="103" spans="2:43" ht="60" hidden="1">
      <c r="B103">
        <v>4</v>
      </c>
      <c r="C103">
        <v>800162592</v>
      </c>
      <c r="D103" t="s">
        <v>703</v>
      </c>
      <c r="E103" t="s">
        <v>703</v>
      </c>
      <c r="F103">
        <v>800162592</v>
      </c>
      <c r="G103" t="s">
        <v>704</v>
      </c>
      <c r="H103" t="s">
        <v>705</v>
      </c>
      <c r="I103" t="s">
        <v>104</v>
      </c>
      <c r="J103" t="s">
        <v>47</v>
      </c>
      <c r="K103" t="s">
        <v>48</v>
      </c>
      <c r="L103">
        <v>157</v>
      </c>
      <c r="M103">
        <v>150</v>
      </c>
      <c r="N103">
        <v>155</v>
      </c>
      <c r="O103" t="s">
        <v>48</v>
      </c>
      <c r="P103" t="s">
        <v>106</v>
      </c>
      <c r="Q103" t="s">
        <v>706</v>
      </c>
      <c r="R103">
        <v>2024</v>
      </c>
      <c r="S103" t="s">
        <v>65</v>
      </c>
      <c r="T103" t="s">
        <v>293</v>
      </c>
      <c r="U103" s="8">
        <v>45408.507118055553</v>
      </c>
      <c r="V103" s="2" t="s">
        <v>707</v>
      </c>
      <c r="X103" t="s">
        <v>55</v>
      </c>
      <c r="Y103" t="s">
        <v>56</v>
      </c>
      <c r="Z103" t="s">
        <v>57</v>
      </c>
      <c r="AA103">
        <v>4506366</v>
      </c>
      <c r="AB103" t="s">
        <v>708</v>
      </c>
      <c r="AC103">
        <v>2</v>
      </c>
      <c r="AJ103" s="9" t="str">
        <f t="shared" si="2"/>
        <v>Sin respuesta</v>
      </c>
      <c r="AK103" s="10" t="str">
        <f t="shared" si="3"/>
        <v>Sin respuesta</v>
      </c>
      <c r="AP103"/>
    </row>
    <row r="104" spans="2:43" ht="45" hidden="1">
      <c r="B104">
        <v>4</v>
      </c>
      <c r="C104">
        <v>901141686</v>
      </c>
      <c r="D104" t="s">
        <v>709</v>
      </c>
      <c r="E104" t="s">
        <v>709</v>
      </c>
      <c r="F104">
        <v>901141686</v>
      </c>
      <c r="G104" t="s">
        <v>709</v>
      </c>
      <c r="H104" t="s">
        <v>710</v>
      </c>
      <c r="I104" t="s">
        <v>711</v>
      </c>
      <c r="J104" t="s">
        <v>47</v>
      </c>
      <c r="K104" t="s">
        <v>48</v>
      </c>
      <c r="L104">
        <v>157</v>
      </c>
      <c r="M104">
        <v>157</v>
      </c>
      <c r="N104">
        <v>155</v>
      </c>
      <c r="O104" t="s">
        <v>48</v>
      </c>
      <c r="P104" t="s">
        <v>63</v>
      </c>
      <c r="Q104" t="s">
        <v>712</v>
      </c>
      <c r="R104">
        <v>2024</v>
      </c>
      <c r="S104" t="s">
        <v>190</v>
      </c>
      <c r="T104" t="s">
        <v>713</v>
      </c>
      <c r="U104" s="8">
        <v>45408.669398148151</v>
      </c>
      <c r="V104" s="2" t="s">
        <v>714</v>
      </c>
      <c r="X104" t="s">
        <v>55</v>
      </c>
      <c r="Y104" t="s">
        <v>56</v>
      </c>
      <c r="Z104" t="s">
        <v>57</v>
      </c>
      <c r="AA104">
        <v>8275177</v>
      </c>
      <c r="AB104" t="s">
        <v>715</v>
      </c>
      <c r="AC104">
        <v>2</v>
      </c>
      <c r="AJ104" s="9" t="str">
        <f t="shared" si="2"/>
        <v>Sin respuesta</v>
      </c>
      <c r="AK104" s="10" t="str">
        <f t="shared" si="3"/>
        <v>Sin respuesta</v>
      </c>
      <c r="AP104"/>
    </row>
    <row r="105" spans="2:43" ht="45" hidden="1">
      <c r="B105">
        <v>4</v>
      </c>
      <c r="C105">
        <v>890333023</v>
      </c>
      <c r="D105" t="s">
        <v>716</v>
      </c>
      <c r="E105" t="s">
        <v>717</v>
      </c>
      <c r="F105">
        <v>890333023</v>
      </c>
      <c r="G105" t="s">
        <v>718</v>
      </c>
      <c r="H105" t="s">
        <v>719</v>
      </c>
      <c r="I105" t="s">
        <v>720</v>
      </c>
      <c r="J105" t="s">
        <v>114</v>
      </c>
      <c r="K105" t="s">
        <v>48</v>
      </c>
      <c r="L105">
        <v>154</v>
      </c>
      <c r="M105">
        <v>146</v>
      </c>
      <c r="N105">
        <v>152</v>
      </c>
      <c r="O105" t="s">
        <v>62</v>
      </c>
      <c r="P105" t="s">
        <v>97</v>
      </c>
      <c r="Q105" t="s">
        <v>721</v>
      </c>
      <c r="R105">
        <v>2024</v>
      </c>
      <c r="S105" t="s">
        <v>52</v>
      </c>
      <c r="T105" t="s">
        <v>116</v>
      </c>
      <c r="U105" s="8">
        <v>45411.348993055559</v>
      </c>
      <c r="V105" s="2" t="s">
        <v>722</v>
      </c>
      <c r="X105" t="s">
        <v>55</v>
      </c>
      <c r="Y105" t="s">
        <v>56</v>
      </c>
      <c r="Z105" t="s">
        <v>57</v>
      </c>
      <c r="AA105">
        <v>6644717</v>
      </c>
      <c r="AB105" t="s">
        <v>723</v>
      </c>
      <c r="AC105">
        <v>6</v>
      </c>
      <c r="AD105" s="2" t="s">
        <v>70</v>
      </c>
      <c r="AF105" t="s">
        <v>724</v>
      </c>
      <c r="AJ105" s="9" t="str">
        <f t="shared" si="2"/>
        <v>Sin respuesta</v>
      </c>
      <c r="AK105" s="10" t="str">
        <f t="shared" si="3"/>
        <v>Sin respuesta</v>
      </c>
      <c r="AN105" s="13" t="s">
        <v>440</v>
      </c>
      <c r="AP105"/>
    </row>
    <row r="106" spans="2:43" ht="45" hidden="1">
      <c r="B106">
        <v>4</v>
      </c>
      <c r="C106">
        <v>890931247</v>
      </c>
      <c r="D106" t="s">
        <v>624</v>
      </c>
      <c r="E106" t="s">
        <v>625</v>
      </c>
      <c r="F106">
        <v>890931247</v>
      </c>
      <c r="G106" t="s">
        <v>725</v>
      </c>
      <c r="H106" t="s">
        <v>626</v>
      </c>
      <c r="I106" t="s">
        <v>160</v>
      </c>
      <c r="J106" t="s">
        <v>47</v>
      </c>
      <c r="K106" t="s">
        <v>48</v>
      </c>
      <c r="L106">
        <v>154</v>
      </c>
      <c r="M106">
        <v>150</v>
      </c>
      <c r="N106">
        <v>152</v>
      </c>
      <c r="O106" t="s">
        <v>48</v>
      </c>
      <c r="P106" t="s">
        <v>63</v>
      </c>
      <c r="Q106" t="s">
        <v>726</v>
      </c>
      <c r="R106">
        <v>2024</v>
      </c>
      <c r="S106" t="s">
        <v>65</v>
      </c>
      <c r="T106" t="s">
        <v>334</v>
      </c>
      <c r="U106" s="8">
        <v>45411.364166666666</v>
      </c>
      <c r="V106" s="2" t="s">
        <v>727</v>
      </c>
      <c r="X106" t="s">
        <v>55</v>
      </c>
      <c r="Y106" t="s">
        <v>56</v>
      </c>
      <c r="Z106" t="s">
        <v>57</v>
      </c>
      <c r="AA106">
        <v>4480799</v>
      </c>
      <c r="AB106" t="s">
        <v>629</v>
      </c>
      <c r="AC106">
        <v>2</v>
      </c>
      <c r="AJ106" s="11" t="str">
        <f t="shared" si="2"/>
        <v>Sin respuesta</v>
      </c>
      <c r="AK106" s="12" t="str">
        <f t="shared" si="3"/>
        <v>Sin respuesta</v>
      </c>
      <c r="AP106"/>
    </row>
    <row r="107" spans="2:43" ht="75" hidden="1">
      <c r="B107">
        <v>4</v>
      </c>
      <c r="C107">
        <v>37246140</v>
      </c>
      <c r="D107" t="s">
        <v>728</v>
      </c>
      <c r="E107" t="s">
        <v>729</v>
      </c>
      <c r="F107">
        <v>37246140</v>
      </c>
      <c r="G107" t="s">
        <v>730</v>
      </c>
      <c r="H107" t="s">
        <v>731</v>
      </c>
      <c r="I107" t="s">
        <v>197</v>
      </c>
      <c r="J107" t="s">
        <v>47</v>
      </c>
      <c r="K107" t="s">
        <v>48</v>
      </c>
      <c r="L107">
        <v>154</v>
      </c>
      <c r="M107">
        <v>144</v>
      </c>
      <c r="N107">
        <v>152</v>
      </c>
      <c r="O107" t="s">
        <v>48</v>
      </c>
      <c r="P107" t="s">
        <v>198</v>
      </c>
      <c r="Q107" t="s">
        <v>732</v>
      </c>
      <c r="R107">
        <v>2024</v>
      </c>
      <c r="S107" t="s">
        <v>65</v>
      </c>
      <c r="T107" t="s">
        <v>293</v>
      </c>
      <c r="U107" s="8">
        <v>45411.377650462964</v>
      </c>
      <c r="V107" s="2" t="s">
        <v>733</v>
      </c>
      <c r="X107" t="s">
        <v>55</v>
      </c>
      <c r="Y107" t="s">
        <v>56</v>
      </c>
      <c r="Z107" t="s">
        <v>57</v>
      </c>
      <c r="AA107">
        <v>4214715</v>
      </c>
      <c r="AB107" t="s">
        <v>734</v>
      </c>
      <c r="AC107">
        <v>2</v>
      </c>
      <c r="AJ107" s="9" t="str">
        <f t="shared" si="2"/>
        <v>Sin respuesta</v>
      </c>
      <c r="AK107" s="10" t="str">
        <f t="shared" si="3"/>
        <v>Sin respuesta</v>
      </c>
      <c r="AP107"/>
    </row>
    <row r="108" spans="2:43" ht="135" hidden="1">
      <c r="B108">
        <v>4</v>
      </c>
      <c r="C108">
        <v>900513041</v>
      </c>
      <c r="D108" t="s">
        <v>735</v>
      </c>
      <c r="E108" t="s">
        <v>735</v>
      </c>
      <c r="F108">
        <v>900513041</v>
      </c>
      <c r="G108" t="s">
        <v>736</v>
      </c>
      <c r="H108" t="s">
        <v>737</v>
      </c>
      <c r="I108" t="s">
        <v>197</v>
      </c>
      <c r="J108" t="s">
        <v>47</v>
      </c>
      <c r="K108" t="s">
        <v>48</v>
      </c>
      <c r="L108">
        <v>154</v>
      </c>
      <c r="M108">
        <v>132</v>
      </c>
      <c r="N108">
        <v>152</v>
      </c>
      <c r="O108" t="s">
        <v>48</v>
      </c>
      <c r="P108" t="s">
        <v>198</v>
      </c>
      <c r="Q108" t="s">
        <v>738</v>
      </c>
      <c r="R108">
        <v>2024</v>
      </c>
      <c r="S108" t="s">
        <v>65</v>
      </c>
      <c r="T108" t="s">
        <v>334</v>
      </c>
      <c r="U108" s="8">
        <v>45411.527071759258</v>
      </c>
      <c r="V108" s="2" t="s">
        <v>739</v>
      </c>
      <c r="X108" t="s">
        <v>55</v>
      </c>
      <c r="Y108" t="s">
        <v>56</v>
      </c>
      <c r="Z108" t="s">
        <v>57</v>
      </c>
      <c r="AA108">
        <v>4368380</v>
      </c>
      <c r="AB108" t="s">
        <v>740</v>
      </c>
      <c r="AC108">
        <v>2</v>
      </c>
      <c r="AJ108" s="9" t="str">
        <f t="shared" si="2"/>
        <v>Sin respuesta</v>
      </c>
      <c r="AK108" s="10" t="str">
        <f t="shared" si="3"/>
        <v>Sin respuesta</v>
      </c>
      <c r="AP108"/>
    </row>
    <row r="109" spans="2:43" ht="75" hidden="1">
      <c r="B109">
        <v>4</v>
      </c>
      <c r="C109">
        <v>39791832</v>
      </c>
      <c r="D109" t="s">
        <v>741</v>
      </c>
      <c r="E109" t="s">
        <v>742</v>
      </c>
      <c r="F109">
        <v>39791832</v>
      </c>
      <c r="G109" t="s">
        <v>743</v>
      </c>
      <c r="H109" t="s">
        <v>744</v>
      </c>
      <c r="I109" t="s">
        <v>235</v>
      </c>
      <c r="J109" t="s">
        <v>47</v>
      </c>
      <c r="K109" t="s">
        <v>48</v>
      </c>
      <c r="L109">
        <v>154</v>
      </c>
      <c r="M109">
        <v>132</v>
      </c>
      <c r="N109">
        <v>152</v>
      </c>
      <c r="O109" t="s">
        <v>48</v>
      </c>
      <c r="P109" t="s">
        <v>236</v>
      </c>
      <c r="Q109" t="s">
        <v>745</v>
      </c>
      <c r="R109">
        <v>2024</v>
      </c>
      <c r="S109" t="s">
        <v>65</v>
      </c>
      <c r="T109" t="s">
        <v>293</v>
      </c>
      <c r="U109" s="8">
        <v>45411.661631944444</v>
      </c>
      <c r="V109" s="2" t="s">
        <v>746</v>
      </c>
      <c r="X109" t="s">
        <v>55</v>
      </c>
      <c r="Y109" t="s">
        <v>56</v>
      </c>
      <c r="Z109" t="s">
        <v>57</v>
      </c>
      <c r="AA109">
        <v>2635588</v>
      </c>
      <c r="AB109" t="s">
        <v>747</v>
      </c>
      <c r="AC109">
        <v>2</v>
      </c>
      <c r="AJ109" s="9" t="str">
        <f t="shared" si="2"/>
        <v>Sin respuesta</v>
      </c>
      <c r="AK109" s="10" t="str">
        <f t="shared" si="3"/>
        <v>Sin respuesta</v>
      </c>
      <c r="AP109"/>
    </row>
    <row r="110" spans="2:43" ht="60" hidden="1">
      <c r="B110">
        <v>4</v>
      </c>
      <c r="C110">
        <v>1127580402</v>
      </c>
      <c r="D110" t="s">
        <v>748</v>
      </c>
      <c r="E110" t="s">
        <v>749</v>
      </c>
      <c r="F110">
        <v>1127580402</v>
      </c>
      <c r="G110" t="s">
        <v>750</v>
      </c>
      <c r="H110" t="s">
        <v>751</v>
      </c>
      <c r="I110" t="s">
        <v>752</v>
      </c>
      <c r="J110" t="s">
        <v>47</v>
      </c>
      <c r="K110" t="s">
        <v>48</v>
      </c>
      <c r="L110">
        <v>153</v>
      </c>
      <c r="M110">
        <v>150</v>
      </c>
      <c r="N110">
        <v>151</v>
      </c>
      <c r="O110" t="s">
        <v>48</v>
      </c>
      <c r="P110" t="s">
        <v>50</v>
      </c>
      <c r="Q110" t="s">
        <v>753</v>
      </c>
      <c r="R110">
        <v>2024</v>
      </c>
      <c r="S110" t="s">
        <v>65</v>
      </c>
      <c r="T110" t="s">
        <v>334</v>
      </c>
      <c r="U110" s="8">
        <v>45412.406875000001</v>
      </c>
      <c r="V110" s="2" t="s">
        <v>754</v>
      </c>
      <c r="X110" t="s">
        <v>55</v>
      </c>
      <c r="Y110" t="s">
        <v>56</v>
      </c>
      <c r="Z110" t="s">
        <v>57</v>
      </c>
      <c r="AA110">
        <v>3095745</v>
      </c>
      <c r="AB110" t="s">
        <v>755</v>
      </c>
      <c r="AC110">
        <v>2</v>
      </c>
      <c r="AJ110" s="9" t="str">
        <f t="shared" si="2"/>
        <v>Sin respuesta</v>
      </c>
      <c r="AK110" s="10" t="str">
        <f t="shared" si="3"/>
        <v>Sin respuesta</v>
      </c>
      <c r="AP110"/>
    </row>
    <row r="111" spans="2:43" ht="60" hidden="1">
      <c r="B111">
        <v>4</v>
      </c>
      <c r="C111">
        <v>890901298</v>
      </c>
      <c r="D111" t="s">
        <v>599</v>
      </c>
      <c r="E111" t="s">
        <v>599</v>
      </c>
      <c r="F111">
        <v>890901298</v>
      </c>
      <c r="G111" t="s">
        <v>599</v>
      </c>
      <c r="H111" t="s">
        <v>600</v>
      </c>
      <c r="I111" t="s">
        <v>601</v>
      </c>
      <c r="J111" t="s">
        <v>47</v>
      </c>
      <c r="K111" t="s">
        <v>48</v>
      </c>
      <c r="L111">
        <v>153</v>
      </c>
      <c r="M111">
        <v>62</v>
      </c>
      <c r="N111">
        <v>151</v>
      </c>
      <c r="O111" t="s">
        <v>436</v>
      </c>
      <c r="P111" t="s">
        <v>63</v>
      </c>
      <c r="Q111" t="s">
        <v>756</v>
      </c>
      <c r="R111">
        <v>2024</v>
      </c>
      <c r="S111" t="s">
        <v>65</v>
      </c>
      <c r="T111" t="s">
        <v>66</v>
      </c>
      <c r="U111" s="8">
        <v>45412.662488425929</v>
      </c>
      <c r="V111" s="2" t="s">
        <v>757</v>
      </c>
      <c r="X111" t="s">
        <v>55</v>
      </c>
      <c r="Y111" t="s">
        <v>56</v>
      </c>
      <c r="Z111" t="s">
        <v>57</v>
      </c>
      <c r="AA111">
        <v>4449191</v>
      </c>
      <c r="AB111" t="s">
        <v>604</v>
      </c>
      <c r="AC111">
        <v>7</v>
      </c>
      <c r="AD111" s="14" t="s">
        <v>589</v>
      </c>
      <c r="AE111" s="15" t="s">
        <v>605</v>
      </c>
      <c r="AF111" t="s">
        <v>606</v>
      </c>
      <c r="AG111" s="15" t="s">
        <v>592</v>
      </c>
      <c r="AH111" t="s">
        <v>55</v>
      </c>
      <c r="AI111" s="8">
        <v>45412</v>
      </c>
      <c r="AJ111" s="9" t="e">
        <f t="shared" si="2"/>
        <v>#VALUE!</v>
      </c>
      <c r="AK111" s="10" t="e">
        <f t="shared" si="3"/>
        <v>#VALUE!</v>
      </c>
      <c r="AL111" t="s">
        <v>594</v>
      </c>
      <c r="AM111" t="s">
        <v>607</v>
      </c>
      <c r="AN111" s="15" t="s">
        <v>758</v>
      </c>
      <c r="AO111" t="s">
        <v>759</v>
      </c>
      <c r="AP111">
        <v>455277</v>
      </c>
      <c r="AQ111" t="s">
        <v>598</v>
      </c>
    </row>
    <row r="112" spans="2:43" ht="45" hidden="1">
      <c r="B112">
        <v>5</v>
      </c>
      <c r="C112">
        <v>1045107399</v>
      </c>
      <c r="D112" t="s">
        <v>507</v>
      </c>
      <c r="E112" t="s">
        <v>507</v>
      </c>
      <c r="F112">
        <v>1045107399</v>
      </c>
      <c r="G112" t="s">
        <v>760</v>
      </c>
      <c r="H112" t="s">
        <v>509</v>
      </c>
      <c r="I112" t="s">
        <v>510</v>
      </c>
      <c r="J112" t="s">
        <v>114</v>
      </c>
      <c r="K112" t="s">
        <v>48</v>
      </c>
      <c r="L112">
        <v>151</v>
      </c>
      <c r="M112">
        <v>147</v>
      </c>
      <c r="N112">
        <v>149</v>
      </c>
      <c r="O112" t="s">
        <v>62</v>
      </c>
      <c r="P112" t="s">
        <v>63</v>
      </c>
      <c r="Q112" t="s">
        <v>761</v>
      </c>
      <c r="R112">
        <v>2024</v>
      </c>
      <c r="S112" t="s">
        <v>124</v>
      </c>
      <c r="T112" t="s">
        <v>284</v>
      </c>
      <c r="U112" s="8">
        <v>45414.475648148145</v>
      </c>
      <c r="V112" s="2" t="s">
        <v>762</v>
      </c>
      <c r="X112" t="s">
        <v>55</v>
      </c>
      <c r="Y112" t="s">
        <v>56</v>
      </c>
      <c r="Z112" t="s">
        <v>57</v>
      </c>
      <c r="AA112">
        <v>8654022</v>
      </c>
      <c r="AB112" t="s">
        <v>513</v>
      </c>
      <c r="AC112">
        <v>6</v>
      </c>
      <c r="AD112" s="2" t="s">
        <v>91</v>
      </c>
      <c r="AJ112" s="11" t="str">
        <f t="shared" si="2"/>
        <v>Sin respuesta</v>
      </c>
      <c r="AK112" s="12" t="str">
        <f t="shared" si="3"/>
        <v>Sin respuesta</v>
      </c>
      <c r="AP112"/>
    </row>
    <row r="113" spans="2:42" ht="45" hidden="1">
      <c r="B113">
        <v>5</v>
      </c>
      <c r="C113">
        <v>900676334</v>
      </c>
      <c r="D113" t="s">
        <v>763</v>
      </c>
      <c r="E113" t="s">
        <v>764</v>
      </c>
      <c r="F113">
        <v>900676334</v>
      </c>
      <c r="G113" t="s">
        <v>765</v>
      </c>
      <c r="H113" t="s">
        <v>766</v>
      </c>
      <c r="I113" t="s">
        <v>227</v>
      </c>
      <c r="J113" t="s">
        <v>114</v>
      </c>
      <c r="K113" t="s">
        <v>48</v>
      </c>
      <c r="L113">
        <v>151</v>
      </c>
      <c r="M113">
        <v>146</v>
      </c>
      <c r="N113">
        <v>149</v>
      </c>
      <c r="O113" t="s">
        <v>105</v>
      </c>
      <c r="P113" t="s">
        <v>228</v>
      </c>
      <c r="Q113" t="s">
        <v>767</v>
      </c>
      <c r="R113">
        <v>2024</v>
      </c>
      <c r="S113" t="s">
        <v>52</v>
      </c>
      <c r="T113" t="s">
        <v>116</v>
      </c>
      <c r="U113" s="8">
        <v>45414.499259259261</v>
      </c>
      <c r="V113" s="2" t="s">
        <v>768</v>
      </c>
      <c r="X113" t="s">
        <v>55</v>
      </c>
      <c r="Y113" t="s">
        <v>56</v>
      </c>
      <c r="Z113" t="s">
        <v>57</v>
      </c>
      <c r="AA113">
        <v>8774294</v>
      </c>
      <c r="AB113" t="s">
        <v>769</v>
      </c>
      <c r="AC113">
        <v>8</v>
      </c>
      <c r="AF113" s="2"/>
      <c r="AJ113" s="11" t="str">
        <f t="shared" si="2"/>
        <v>Sin respuesta</v>
      </c>
      <c r="AK113" s="12" t="str">
        <f t="shared" si="3"/>
        <v>Sin respuesta</v>
      </c>
      <c r="AP113"/>
    </row>
    <row r="114" spans="2:42" ht="75" hidden="1">
      <c r="B114">
        <v>5</v>
      </c>
      <c r="C114">
        <v>900774294</v>
      </c>
      <c r="D114" t="s">
        <v>770</v>
      </c>
      <c r="E114" t="s">
        <v>770</v>
      </c>
      <c r="F114">
        <v>900774294</v>
      </c>
      <c r="G114" t="s">
        <v>771</v>
      </c>
      <c r="H114" t="s">
        <v>772</v>
      </c>
      <c r="I114" t="s">
        <v>96</v>
      </c>
      <c r="J114" t="s">
        <v>47</v>
      </c>
      <c r="K114" t="s">
        <v>48</v>
      </c>
      <c r="L114">
        <v>150</v>
      </c>
      <c r="M114">
        <v>147</v>
      </c>
      <c r="N114">
        <v>148</v>
      </c>
      <c r="O114" t="s">
        <v>49</v>
      </c>
      <c r="P114" t="s">
        <v>97</v>
      </c>
      <c r="Q114" t="s">
        <v>773</v>
      </c>
      <c r="R114">
        <v>2024</v>
      </c>
      <c r="S114" t="s">
        <v>65</v>
      </c>
      <c r="T114" t="s">
        <v>77</v>
      </c>
      <c r="U114" s="8">
        <v>45415.602581018517</v>
      </c>
      <c r="V114" s="2" t="s">
        <v>774</v>
      </c>
      <c r="X114" t="s">
        <v>55</v>
      </c>
      <c r="Y114" t="s">
        <v>56</v>
      </c>
      <c r="Z114" t="s">
        <v>57</v>
      </c>
      <c r="AA114">
        <v>5241707</v>
      </c>
      <c r="AB114" t="s">
        <v>775</v>
      </c>
      <c r="AC114">
        <v>3</v>
      </c>
      <c r="AF114" s="2"/>
      <c r="AJ114" s="11" t="str">
        <f t="shared" si="2"/>
        <v>Sin respuesta</v>
      </c>
      <c r="AK114" s="12" t="str">
        <f t="shared" si="3"/>
        <v>Sin respuesta</v>
      </c>
      <c r="AP114"/>
    </row>
    <row r="115" spans="2:42" ht="45" hidden="1">
      <c r="B115">
        <v>5</v>
      </c>
      <c r="C115">
        <v>890904478</v>
      </c>
      <c r="D115" t="s">
        <v>697</v>
      </c>
      <c r="E115" t="s">
        <v>697</v>
      </c>
      <c r="F115">
        <v>890904478</v>
      </c>
      <c r="G115" t="s">
        <v>698</v>
      </c>
      <c r="H115" t="s">
        <v>699</v>
      </c>
      <c r="I115" t="s">
        <v>542</v>
      </c>
      <c r="J115" t="s">
        <v>47</v>
      </c>
      <c r="K115" t="s">
        <v>48</v>
      </c>
      <c r="L115">
        <v>150</v>
      </c>
      <c r="M115">
        <v>147</v>
      </c>
      <c r="N115">
        <v>148</v>
      </c>
      <c r="O115" t="s">
        <v>49</v>
      </c>
      <c r="P115" t="s">
        <v>63</v>
      </c>
      <c r="Q115" t="s">
        <v>776</v>
      </c>
      <c r="R115">
        <v>2024</v>
      </c>
      <c r="S115" t="s">
        <v>65</v>
      </c>
      <c r="T115" t="s">
        <v>417</v>
      </c>
      <c r="U115" s="8">
        <v>45415.639050925929</v>
      </c>
      <c r="V115" s="2" t="s">
        <v>777</v>
      </c>
      <c r="X115" t="s">
        <v>55</v>
      </c>
      <c r="Y115" t="s">
        <v>56</v>
      </c>
      <c r="Z115" t="s">
        <v>57</v>
      </c>
      <c r="AA115">
        <v>4455555</v>
      </c>
      <c r="AB115" t="s">
        <v>702</v>
      </c>
      <c r="AC115">
        <v>3</v>
      </c>
      <c r="AJ115" s="9" t="str">
        <f t="shared" si="2"/>
        <v>Sin respuesta</v>
      </c>
      <c r="AK115" s="10" t="str">
        <f t="shared" si="3"/>
        <v>Sin respuesta</v>
      </c>
      <c r="AP115"/>
    </row>
    <row r="116" spans="2:42" ht="60" hidden="1">
      <c r="B116">
        <v>5</v>
      </c>
      <c r="C116">
        <v>890904478</v>
      </c>
      <c r="D116" t="s">
        <v>697</v>
      </c>
      <c r="E116" t="s">
        <v>697</v>
      </c>
      <c r="F116">
        <v>890904478</v>
      </c>
      <c r="G116" t="s">
        <v>698</v>
      </c>
      <c r="H116" t="s">
        <v>699</v>
      </c>
      <c r="I116" t="s">
        <v>542</v>
      </c>
      <c r="J116" t="s">
        <v>47</v>
      </c>
      <c r="K116" t="s">
        <v>48</v>
      </c>
      <c r="L116">
        <v>150</v>
      </c>
      <c r="M116">
        <v>147</v>
      </c>
      <c r="N116">
        <v>148</v>
      </c>
      <c r="O116" t="s">
        <v>48</v>
      </c>
      <c r="P116" t="s">
        <v>63</v>
      </c>
      <c r="Q116" t="s">
        <v>778</v>
      </c>
      <c r="R116">
        <v>2024</v>
      </c>
      <c r="S116" t="s">
        <v>65</v>
      </c>
      <c r="T116" t="s">
        <v>334</v>
      </c>
      <c r="U116" s="8">
        <v>45415.643587962964</v>
      </c>
      <c r="V116" s="2" t="s">
        <v>779</v>
      </c>
      <c r="X116" t="s">
        <v>55</v>
      </c>
      <c r="Y116" t="s">
        <v>56</v>
      </c>
      <c r="Z116" t="s">
        <v>57</v>
      </c>
      <c r="AA116">
        <v>4455555</v>
      </c>
      <c r="AB116" t="s">
        <v>702</v>
      </c>
      <c r="AC116">
        <v>2</v>
      </c>
      <c r="AJ116" s="9" t="str">
        <f t="shared" si="2"/>
        <v>Sin respuesta</v>
      </c>
      <c r="AK116" s="10" t="str">
        <f t="shared" si="3"/>
        <v>Sin respuesta</v>
      </c>
      <c r="AP116"/>
    </row>
    <row r="117" spans="2:42" ht="45" hidden="1">
      <c r="B117">
        <v>5</v>
      </c>
      <c r="C117">
        <v>901579337</v>
      </c>
      <c r="D117" t="s">
        <v>780</v>
      </c>
      <c r="E117" t="s">
        <v>781</v>
      </c>
      <c r="F117">
        <v>901579337</v>
      </c>
      <c r="G117" t="s">
        <v>782</v>
      </c>
      <c r="H117" t="s">
        <v>783</v>
      </c>
      <c r="I117" t="s">
        <v>784</v>
      </c>
      <c r="J117" t="s">
        <v>47</v>
      </c>
      <c r="K117" t="s">
        <v>48</v>
      </c>
      <c r="L117">
        <v>150</v>
      </c>
      <c r="M117">
        <v>147</v>
      </c>
      <c r="N117">
        <v>148</v>
      </c>
      <c r="O117" t="s">
        <v>49</v>
      </c>
      <c r="P117" t="s">
        <v>785</v>
      </c>
      <c r="Q117" t="s">
        <v>786</v>
      </c>
      <c r="R117">
        <v>2024</v>
      </c>
      <c r="S117" t="s">
        <v>65</v>
      </c>
      <c r="T117" t="s">
        <v>125</v>
      </c>
      <c r="U117" s="8">
        <v>45415.649398148147</v>
      </c>
      <c r="V117" s="2" t="s">
        <v>787</v>
      </c>
      <c r="X117" t="s">
        <v>55</v>
      </c>
      <c r="Y117" t="s">
        <v>56</v>
      </c>
      <c r="Z117" t="s">
        <v>57</v>
      </c>
      <c r="AA117">
        <v>6063358291</v>
      </c>
      <c r="AB117" t="s">
        <v>788</v>
      </c>
      <c r="AC117">
        <v>3</v>
      </c>
      <c r="AJ117" s="9" t="str">
        <f t="shared" si="2"/>
        <v>Sin respuesta</v>
      </c>
      <c r="AK117" s="10" t="str">
        <f t="shared" si="3"/>
        <v>Sin respuesta</v>
      </c>
      <c r="AP117"/>
    </row>
    <row r="118" spans="2:42" ht="60" hidden="1">
      <c r="B118">
        <v>5</v>
      </c>
      <c r="C118">
        <v>901697305</v>
      </c>
      <c r="D118" t="s">
        <v>789</v>
      </c>
      <c r="E118" t="s">
        <v>789</v>
      </c>
      <c r="F118">
        <v>901697305</v>
      </c>
      <c r="G118" t="s">
        <v>789</v>
      </c>
      <c r="H118" t="s">
        <v>790</v>
      </c>
      <c r="I118" t="s">
        <v>791</v>
      </c>
      <c r="J118" t="s">
        <v>47</v>
      </c>
      <c r="K118" t="s">
        <v>48</v>
      </c>
      <c r="L118">
        <v>147</v>
      </c>
      <c r="M118">
        <v>146</v>
      </c>
      <c r="N118">
        <v>145</v>
      </c>
      <c r="O118" t="s">
        <v>48</v>
      </c>
      <c r="P118" t="s">
        <v>63</v>
      </c>
      <c r="Q118" t="s">
        <v>792</v>
      </c>
      <c r="R118">
        <v>2024</v>
      </c>
      <c r="S118" t="s">
        <v>65</v>
      </c>
      <c r="T118" t="s">
        <v>293</v>
      </c>
      <c r="U118" s="8">
        <v>45418.501238425924</v>
      </c>
      <c r="V118" s="2" t="s">
        <v>793</v>
      </c>
      <c r="X118" t="s">
        <v>55</v>
      </c>
      <c r="Y118" t="s">
        <v>56</v>
      </c>
      <c r="Z118" t="s">
        <v>246</v>
      </c>
      <c r="AA118">
        <v>3218013359</v>
      </c>
      <c r="AB118" t="s">
        <v>794</v>
      </c>
      <c r="AC118">
        <v>2</v>
      </c>
      <c r="AJ118" s="9" t="str">
        <f t="shared" si="2"/>
        <v>Sin respuesta</v>
      </c>
      <c r="AK118" s="10" t="str">
        <f t="shared" si="3"/>
        <v>Sin respuesta</v>
      </c>
      <c r="AP118"/>
    </row>
    <row r="119" spans="2:42" ht="75" hidden="1">
      <c r="B119">
        <v>5</v>
      </c>
      <c r="C119">
        <v>901475885</v>
      </c>
      <c r="D119" t="s">
        <v>795</v>
      </c>
      <c r="E119" t="s">
        <v>795</v>
      </c>
      <c r="F119">
        <v>901475885</v>
      </c>
      <c r="G119" t="s">
        <v>795</v>
      </c>
      <c r="H119" t="s">
        <v>796</v>
      </c>
      <c r="I119" t="s">
        <v>797</v>
      </c>
      <c r="J119" t="s">
        <v>47</v>
      </c>
      <c r="K119" t="s">
        <v>48</v>
      </c>
      <c r="L119">
        <v>147</v>
      </c>
      <c r="M119">
        <v>146</v>
      </c>
      <c r="N119">
        <v>145</v>
      </c>
      <c r="O119" t="s">
        <v>48</v>
      </c>
      <c r="P119" t="s">
        <v>265</v>
      </c>
      <c r="Q119" t="s">
        <v>798</v>
      </c>
      <c r="R119">
        <v>2024</v>
      </c>
      <c r="S119" t="s">
        <v>65</v>
      </c>
      <c r="T119" t="s">
        <v>334</v>
      </c>
      <c r="U119" s="8">
        <v>45418.528981481482</v>
      </c>
      <c r="V119" s="2" t="s">
        <v>799</v>
      </c>
      <c r="X119" t="s">
        <v>55</v>
      </c>
      <c r="Y119" t="s">
        <v>56</v>
      </c>
      <c r="Z119" t="s">
        <v>246</v>
      </c>
      <c r="AA119">
        <v>7766831</v>
      </c>
      <c r="AB119" t="s">
        <v>800</v>
      </c>
      <c r="AC119">
        <v>2</v>
      </c>
      <c r="AJ119" s="9" t="str">
        <f t="shared" si="2"/>
        <v>Sin respuesta</v>
      </c>
      <c r="AK119" s="10" t="str">
        <f t="shared" si="3"/>
        <v>Sin respuesta</v>
      </c>
      <c r="AP119"/>
    </row>
    <row r="120" spans="2:42" hidden="1">
      <c r="B120">
        <v>5</v>
      </c>
      <c r="C120">
        <v>98571076</v>
      </c>
      <c r="D120" t="s">
        <v>801</v>
      </c>
      <c r="E120" t="s">
        <v>802</v>
      </c>
      <c r="F120">
        <v>123</v>
      </c>
      <c r="G120" t="s">
        <v>803</v>
      </c>
      <c r="H120" t="s">
        <v>804</v>
      </c>
      <c r="I120" t="s">
        <v>211</v>
      </c>
      <c r="J120" t="s">
        <v>243</v>
      </c>
      <c r="K120" t="s">
        <v>48</v>
      </c>
      <c r="L120">
        <v>147</v>
      </c>
      <c r="M120">
        <v>147</v>
      </c>
      <c r="N120">
        <v>145</v>
      </c>
      <c r="O120" t="s">
        <v>48</v>
      </c>
      <c r="P120" t="s">
        <v>63</v>
      </c>
      <c r="Q120" t="s">
        <v>805</v>
      </c>
      <c r="R120">
        <v>2024</v>
      </c>
      <c r="S120" t="s">
        <v>190</v>
      </c>
      <c r="T120" t="s">
        <v>272</v>
      </c>
      <c r="U120" s="8">
        <v>45418.645266203705</v>
      </c>
      <c r="V120" s="2" t="s">
        <v>806</v>
      </c>
      <c r="X120" t="s">
        <v>55</v>
      </c>
      <c r="Y120" t="s">
        <v>56</v>
      </c>
      <c r="Z120" t="s">
        <v>807</v>
      </c>
      <c r="AA120">
        <v>2505386</v>
      </c>
      <c r="AB120" t="s">
        <v>808</v>
      </c>
      <c r="AC120">
        <v>2</v>
      </c>
      <c r="AJ120" s="9" t="str">
        <f t="shared" si="2"/>
        <v>Sin respuesta</v>
      </c>
      <c r="AK120" s="10" t="str">
        <f t="shared" si="3"/>
        <v>Sin respuesta</v>
      </c>
      <c r="AP120"/>
    </row>
    <row r="121" spans="2:42" ht="60" hidden="1">
      <c r="B121">
        <v>5</v>
      </c>
      <c r="C121">
        <v>890324420</v>
      </c>
      <c r="D121" t="s">
        <v>92</v>
      </c>
      <c r="E121" t="s">
        <v>93</v>
      </c>
      <c r="F121">
        <v>890324420</v>
      </c>
      <c r="G121" t="s">
        <v>93</v>
      </c>
      <c r="H121" t="s">
        <v>95</v>
      </c>
      <c r="I121" t="s">
        <v>96</v>
      </c>
      <c r="J121" t="s">
        <v>114</v>
      </c>
      <c r="K121" t="s">
        <v>48</v>
      </c>
      <c r="L121">
        <v>146</v>
      </c>
      <c r="M121">
        <v>143</v>
      </c>
      <c r="N121">
        <v>144</v>
      </c>
      <c r="O121" t="s">
        <v>436</v>
      </c>
      <c r="P121" t="s">
        <v>97</v>
      </c>
      <c r="Q121" t="s">
        <v>809</v>
      </c>
      <c r="R121">
        <v>2024</v>
      </c>
      <c r="S121" t="s">
        <v>124</v>
      </c>
      <c r="T121" t="s">
        <v>313</v>
      </c>
      <c r="U121" s="8">
        <v>45419.462696759256</v>
      </c>
      <c r="V121" s="2" t="s">
        <v>810</v>
      </c>
      <c r="X121" t="s">
        <v>55</v>
      </c>
      <c r="Y121" t="s">
        <v>56</v>
      </c>
      <c r="Z121" t="s">
        <v>807</v>
      </c>
      <c r="AA121">
        <v>4437900</v>
      </c>
      <c r="AB121" t="s">
        <v>100</v>
      </c>
      <c r="AC121">
        <v>7</v>
      </c>
      <c r="AD121" s="14" t="s">
        <v>439</v>
      </c>
      <c r="AE121" s="15"/>
      <c r="AJ121" s="9" t="str">
        <f t="shared" si="2"/>
        <v>Sin respuesta</v>
      </c>
      <c r="AK121" s="10" t="str">
        <f t="shared" si="3"/>
        <v>Sin respuesta</v>
      </c>
      <c r="AN121" s="15" t="s">
        <v>440</v>
      </c>
      <c r="AP121"/>
    </row>
    <row r="122" spans="2:42" ht="75" hidden="1">
      <c r="B122">
        <v>5</v>
      </c>
      <c r="C122">
        <v>901537786</v>
      </c>
      <c r="D122" t="s">
        <v>811</v>
      </c>
      <c r="E122" t="s">
        <v>811</v>
      </c>
      <c r="F122">
        <v>901537786</v>
      </c>
      <c r="G122" t="s">
        <v>811</v>
      </c>
      <c r="H122" t="s">
        <v>812</v>
      </c>
      <c r="I122" t="s">
        <v>813</v>
      </c>
      <c r="J122" t="s">
        <v>114</v>
      </c>
      <c r="K122" t="s">
        <v>48</v>
      </c>
      <c r="L122">
        <v>146</v>
      </c>
      <c r="M122">
        <v>145</v>
      </c>
      <c r="N122">
        <v>144</v>
      </c>
      <c r="O122" t="s">
        <v>49</v>
      </c>
      <c r="P122" t="s">
        <v>424</v>
      </c>
      <c r="Q122" t="s">
        <v>814</v>
      </c>
      <c r="R122">
        <v>2024</v>
      </c>
      <c r="S122" t="s">
        <v>52</v>
      </c>
      <c r="T122" t="s">
        <v>116</v>
      </c>
      <c r="U122" s="8">
        <v>45419.636759259258</v>
      </c>
      <c r="V122" s="2" t="s">
        <v>815</v>
      </c>
      <c r="X122" t="s">
        <v>55</v>
      </c>
      <c r="Y122" t="s">
        <v>56</v>
      </c>
      <c r="Z122" t="s">
        <v>807</v>
      </c>
      <c r="AA122">
        <v>3014887546</v>
      </c>
      <c r="AB122" t="s">
        <v>816</v>
      </c>
      <c r="AC122">
        <v>3</v>
      </c>
      <c r="AF122" s="2"/>
      <c r="AJ122" s="11" t="str">
        <f t="shared" si="2"/>
        <v>Sin respuesta</v>
      </c>
      <c r="AK122" s="12" t="str">
        <f t="shared" si="3"/>
        <v>Sin respuesta</v>
      </c>
      <c r="AP122"/>
    </row>
    <row r="123" spans="2:42" ht="45" hidden="1">
      <c r="B123">
        <v>5</v>
      </c>
      <c r="C123">
        <v>1059900671</v>
      </c>
      <c r="D123" t="s">
        <v>817</v>
      </c>
      <c r="E123" t="s">
        <v>818</v>
      </c>
      <c r="F123">
        <v>1059900671</v>
      </c>
      <c r="G123" t="s">
        <v>818</v>
      </c>
      <c r="H123" t="s">
        <v>819</v>
      </c>
      <c r="I123" t="s">
        <v>130</v>
      </c>
      <c r="J123" t="s">
        <v>114</v>
      </c>
      <c r="K123" t="s">
        <v>48</v>
      </c>
      <c r="L123">
        <v>146</v>
      </c>
      <c r="M123">
        <v>145</v>
      </c>
      <c r="N123">
        <v>144</v>
      </c>
      <c r="O123" t="s">
        <v>49</v>
      </c>
      <c r="P123" t="s">
        <v>131</v>
      </c>
      <c r="Q123" t="s">
        <v>820</v>
      </c>
      <c r="R123">
        <v>2024</v>
      </c>
      <c r="S123" t="s">
        <v>52</v>
      </c>
      <c r="T123" t="s">
        <v>116</v>
      </c>
      <c r="U123" s="8">
        <v>45419.647164351853</v>
      </c>
      <c r="V123" s="2" t="s">
        <v>821</v>
      </c>
      <c r="X123" t="s">
        <v>55</v>
      </c>
      <c r="Y123" t="s">
        <v>56</v>
      </c>
      <c r="Z123" t="s">
        <v>807</v>
      </c>
      <c r="AA123">
        <v>3208098039</v>
      </c>
      <c r="AB123" t="s">
        <v>822</v>
      </c>
      <c r="AC123">
        <v>3</v>
      </c>
      <c r="AJ123" s="9" t="str">
        <f t="shared" si="2"/>
        <v>Sin respuesta</v>
      </c>
      <c r="AK123" s="10" t="str">
        <f t="shared" si="3"/>
        <v>Sin respuesta</v>
      </c>
      <c r="AP123"/>
    </row>
    <row r="124" spans="2:42" ht="60" hidden="1">
      <c r="B124">
        <v>5</v>
      </c>
      <c r="C124">
        <v>35690058</v>
      </c>
      <c r="D124" t="s">
        <v>823</v>
      </c>
      <c r="E124" t="s">
        <v>824</v>
      </c>
      <c r="F124">
        <v>35690058</v>
      </c>
      <c r="G124" t="s">
        <v>824</v>
      </c>
      <c r="H124" t="s">
        <v>825</v>
      </c>
      <c r="I124" t="s">
        <v>455</v>
      </c>
      <c r="J124" t="s">
        <v>47</v>
      </c>
      <c r="K124" t="s">
        <v>48</v>
      </c>
      <c r="L124">
        <v>145</v>
      </c>
      <c r="M124">
        <v>145</v>
      </c>
      <c r="N124">
        <v>143</v>
      </c>
      <c r="O124" t="s">
        <v>49</v>
      </c>
      <c r="P124" t="s">
        <v>349</v>
      </c>
      <c r="Q124" t="s">
        <v>826</v>
      </c>
      <c r="R124">
        <v>2024</v>
      </c>
      <c r="S124" t="s">
        <v>52</v>
      </c>
      <c r="T124" t="s">
        <v>53</v>
      </c>
      <c r="U124" s="8">
        <v>45420.319479166668</v>
      </c>
      <c r="V124" s="2" t="s">
        <v>827</v>
      </c>
      <c r="X124" t="s">
        <v>55</v>
      </c>
      <c r="Y124" t="s">
        <v>56</v>
      </c>
      <c r="Z124" t="s">
        <v>807</v>
      </c>
      <c r="AA124">
        <v>6703374</v>
      </c>
      <c r="AB124" t="s">
        <v>828</v>
      </c>
      <c r="AC124">
        <v>3</v>
      </c>
      <c r="AJ124" s="9" t="str">
        <f t="shared" si="2"/>
        <v>Sin respuesta</v>
      </c>
      <c r="AK124" s="10" t="str">
        <f t="shared" si="3"/>
        <v>Sin respuesta</v>
      </c>
      <c r="AP124"/>
    </row>
    <row r="125" spans="2:42" ht="75" hidden="1">
      <c r="B125">
        <v>5</v>
      </c>
      <c r="C125">
        <v>39791832</v>
      </c>
      <c r="D125" t="s">
        <v>741</v>
      </c>
      <c r="E125" t="s">
        <v>742</v>
      </c>
      <c r="F125">
        <v>39791832</v>
      </c>
      <c r="G125" t="s">
        <v>742</v>
      </c>
      <c r="H125" t="s">
        <v>744</v>
      </c>
      <c r="I125" t="s">
        <v>235</v>
      </c>
      <c r="J125" t="s">
        <v>47</v>
      </c>
      <c r="K125" t="s">
        <v>48</v>
      </c>
      <c r="L125">
        <v>145</v>
      </c>
      <c r="M125">
        <v>145</v>
      </c>
      <c r="N125">
        <v>143</v>
      </c>
      <c r="O125" t="s">
        <v>48</v>
      </c>
      <c r="P125" t="s">
        <v>236</v>
      </c>
      <c r="Q125" t="s">
        <v>829</v>
      </c>
      <c r="R125">
        <v>2024</v>
      </c>
      <c r="S125" t="s">
        <v>65</v>
      </c>
      <c r="T125" t="s">
        <v>293</v>
      </c>
      <c r="U125" s="8">
        <v>45420.33520833333</v>
      </c>
      <c r="V125" s="2" t="s">
        <v>830</v>
      </c>
      <c r="X125" t="s">
        <v>55</v>
      </c>
      <c r="Y125" t="s">
        <v>368</v>
      </c>
      <c r="Z125" t="s">
        <v>807</v>
      </c>
      <c r="AA125">
        <v>2635588</v>
      </c>
      <c r="AB125" t="s">
        <v>747</v>
      </c>
      <c r="AC125">
        <v>2</v>
      </c>
      <c r="AJ125" s="9" t="str">
        <f t="shared" si="2"/>
        <v>Sin respuesta</v>
      </c>
      <c r="AK125" s="10" t="str">
        <f t="shared" si="3"/>
        <v>Sin respuesta</v>
      </c>
      <c r="AP125"/>
    </row>
    <row r="126" spans="2:42" ht="90" hidden="1">
      <c r="B126">
        <v>5</v>
      </c>
      <c r="C126">
        <v>860012340</v>
      </c>
      <c r="D126" t="s">
        <v>466</v>
      </c>
      <c r="E126" t="s">
        <v>467</v>
      </c>
      <c r="F126">
        <v>860012340</v>
      </c>
      <c r="G126" t="s">
        <v>467</v>
      </c>
      <c r="H126" t="s">
        <v>468</v>
      </c>
      <c r="I126" t="s">
        <v>104</v>
      </c>
      <c r="J126" t="s">
        <v>47</v>
      </c>
      <c r="K126" t="s">
        <v>48</v>
      </c>
      <c r="L126">
        <v>145</v>
      </c>
      <c r="M126">
        <v>136</v>
      </c>
      <c r="N126">
        <v>143</v>
      </c>
      <c r="O126" t="s">
        <v>105</v>
      </c>
      <c r="P126" t="s">
        <v>106</v>
      </c>
      <c r="Q126" t="s">
        <v>831</v>
      </c>
      <c r="R126">
        <v>2024</v>
      </c>
      <c r="S126" t="s">
        <v>124</v>
      </c>
      <c r="T126" t="s">
        <v>537</v>
      </c>
      <c r="U126" s="8">
        <v>45420.412881944445</v>
      </c>
      <c r="V126" s="2" t="s">
        <v>832</v>
      </c>
      <c r="X126" t="s">
        <v>55</v>
      </c>
      <c r="Y126" t="s">
        <v>56</v>
      </c>
      <c r="Z126" t="s">
        <v>807</v>
      </c>
      <c r="AA126" t="s">
        <v>472</v>
      </c>
      <c r="AB126" t="s">
        <v>473</v>
      </c>
      <c r="AC126">
        <v>8</v>
      </c>
      <c r="AJ126" s="9" t="str">
        <f t="shared" si="2"/>
        <v>Sin respuesta</v>
      </c>
      <c r="AK126" s="10" t="str">
        <f t="shared" si="3"/>
        <v>Sin respuesta</v>
      </c>
      <c r="AP126"/>
    </row>
    <row r="127" spans="2:42" ht="30" hidden="1">
      <c r="B127">
        <v>5</v>
      </c>
      <c r="C127">
        <v>1045107399</v>
      </c>
      <c r="D127" t="s">
        <v>507</v>
      </c>
      <c r="E127" t="s">
        <v>507</v>
      </c>
      <c r="F127">
        <v>1</v>
      </c>
      <c r="G127">
        <v>1</v>
      </c>
      <c r="H127" t="s">
        <v>509</v>
      </c>
      <c r="I127" t="s">
        <v>510</v>
      </c>
      <c r="J127" t="s">
        <v>47</v>
      </c>
      <c r="K127" t="s">
        <v>48</v>
      </c>
      <c r="L127">
        <v>144</v>
      </c>
      <c r="M127">
        <v>144</v>
      </c>
      <c r="N127">
        <v>142</v>
      </c>
      <c r="O127" t="s">
        <v>48</v>
      </c>
      <c r="P127" t="s">
        <v>63</v>
      </c>
      <c r="Q127" t="s">
        <v>833</v>
      </c>
      <c r="R127">
        <v>2024</v>
      </c>
      <c r="S127" t="s">
        <v>834</v>
      </c>
      <c r="T127" t="s">
        <v>835</v>
      </c>
      <c r="U127" s="8">
        <v>45421.623576388891</v>
      </c>
      <c r="V127" s="2" t="s">
        <v>836</v>
      </c>
      <c r="X127" t="s">
        <v>55</v>
      </c>
      <c r="Y127" t="s">
        <v>368</v>
      </c>
      <c r="Z127" t="s">
        <v>837</v>
      </c>
      <c r="AA127">
        <v>8654022</v>
      </c>
      <c r="AB127" t="s">
        <v>513</v>
      </c>
      <c r="AC127">
        <v>2</v>
      </c>
      <c r="AF127" s="2"/>
      <c r="AJ127" s="11" t="str">
        <f t="shared" si="2"/>
        <v>Sin respuesta</v>
      </c>
      <c r="AK127" s="12" t="str">
        <f t="shared" si="3"/>
        <v>Sin respuesta</v>
      </c>
      <c r="AP127"/>
    </row>
    <row r="128" spans="2:42" ht="75" hidden="1">
      <c r="B128">
        <v>5</v>
      </c>
      <c r="C128">
        <v>900747451</v>
      </c>
      <c r="D128" t="s">
        <v>838</v>
      </c>
      <c r="E128" t="s">
        <v>838</v>
      </c>
      <c r="F128">
        <v>5909349</v>
      </c>
      <c r="G128" t="s">
        <v>838</v>
      </c>
      <c r="H128" t="s">
        <v>839</v>
      </c>
      <c r="I128" t="s">
        <v>840</v>
      </c>
      <c r="J128" t="s">
        <v>47</v>
      </c>
      <c r="K128" t="s">
        <v>48</v>
      </c>
      <c r="L128">
        <v>144</v>
      </c>
      <c r="M128">
        <v>139</v>
      </c>
      <c r="N128">
        <v>142</v>
      </c>
      <c r="O128" t="s">
        <v>48</v>
      </c>
      <c r="P128" t="s">
        <v>478</v>
      </c>
      <c r="Q128" t="s">
        <v>841</v>
      </c>
      <c r="R128">
        <v>2024</v>
      </c>
      <c r="S128" t="s">
        <v>65</v>
      </c>
      <c r="T128" t="s">
        <v>293</v>
      </c>
      <c r="U128" s="8">
        <v>45421.695706018516</v>
      </c>
      <c r="V128" s="2" t="s">
        <v>842</v>
      </c>
      <c r="X128" t="s">
        <v>55</v>
      </c>
      <c r="Y128" t="s">
        <v>56</v>
      </c>
      <c r="Z128" t="s">
        <v>807</v>
      </c>
      <c r="AA128">
        <v>5909349</v>
      </c>
      <c r="AB128" t="s">
        <v>843</v>
      </c>
      <c r="AC128">
        <v>2</v>
      </c>
      <c r="AJ128" s="9" t="str">
        <f t="shared" si="2"/>
        <v>Sin respuesta</v>
      </c>
      <c r="AK128" s="10" t="str">
        <f t="shared" si="3"/>
        <v>Sin respuesta</v>
      </c>
      <c r="AP128"/>
    </row>
    <row r="129" spans="2:42" ht="75" hidden="1">
      <c r="B129">
        <v>5</v>
      </c>
      <c r="C129">
        <v>800098601</v>
      </c>
      <c r="D129" t="s">
        <v>844</v>
      </c>
      <c r="E129" t="s">
        <v>844</v>
      </c>
      <c r="F129">
        <v>800098601</v>
      </c>
      <c r="G129" t="s">
        <v>844</v>
      </c>
      <c r="H129" t="s">
        <v>845</v>
      </c>
      <c r="I129" t="s">
        <v>46</v>
      </c>
      <c r="J129" t="s">
        <v>47</v>
      </c>
      <c r="K129" t="s">
        <v>48</v>
      </c>
      <c r="L129">
        <v>143</v>
      </c>
      <c r="M129">
        <v>143</v>
      </c>
      <c r="N129">
        <v>141</v>
      </c>
      <c r="O129" t="s">
        <v>49</v>
      </c>
      <c r="P129" t="s">
        <v>50</v>
      </c>
      <c r="Q129" t="s">
        <v>846</v>
      </c>
      <c r="R129">
        <v>2024</v>
      </c>
      <c r="S129" t="s">
        <v>52</v>
      </c>
      <c r="T129" t="s">
        <v>351</v>
      </c>
      <c r="U129" s="8">
        <v>45422.485451388886</v>
      </c>
      <c r="V129" s="2" t="s">
        <v>847</v>
      </c>
      <c r="X129" t="s">
        <v>55</v>
      </c>
      <c r="Y129" t="s">
        <v>56</v>
      </c>
      <c r="Z129" t="s">
        <v>807</v>
      </c>
      <c r="AA129">
        <v>3858116</v>
      </c>
      <c r="AB129" t="s">
        <v>848</v>
      </c>
      <c r="AC129">
        <v>3</v>
      </c>
      <c r="AJ129" s="9" t="str">
        <f t="shared" si="2"/>
        <v>Sin respuesta</v>
      </c>
      <c r="AK129" s="10" t="str">
        <f t="shared" si="3"/>
        <v>Sin respuesta</v>
      </c>
      <c r="AP129"/>
    </row>
    <row r="130" spans="2:42" ht="105" hidden="1">
      <c r="B130">
        <v>5</v>
      </c>
      <c r="C130">
        <v>900308111</v>
      </c>
      <c r="D130" t="s">
        <v>849</v>
      </c>
      <c r="E130" t="s">
        <v>850</v>
      </c>
      <c r="F130">
        <v>900308111</v>
      </c>
      <c r="G130" t="s">
        <v>850</v>
      </c>
      <c r="H130" t="s">
        <v>851</v>
      </c>
      <c r="I130" t="s">
        <v>852</v>
      </c>
      <c r="J130" t="s">
        <v>47</v>
      </c>
      <c r="K130" t="s">
        <v>48</v>
      </c>
      <c r="L130">
        <v>143</v>
      </c>
      <c r="M130">
        <v>139</v>
      </c>
      <c r="N130">
        <v>141</v>
      </c>
      <c r="O130" t="s">
        <v>48</v>
      </c>
      <c r="P130" t="s">
        <v>63</v>
      </c>
      <c r="Q130" t="s">
        <v>853</v>
      </c>
      <c r="R130">
        <v>2024</v>
      </c>
      <c r="S130" t="s">
        <v>65</v>
      </c>
      <c r="T130" t="s">
        <v>293</v>
      </c>
      <c r="U130" s="8">
        <v>45422.619988425926</v>
      </c>
      <c r="V130" s="2" t="s">
        <v>854</v>
      </c>
      <c r="X130" t="s">
        <v>55</v>
      </c>
      <c r="Y130" t="s">
        <v>56</v>
      </c>
      <c r="Z130" t="s">
        <v>807</v>
      </c>
      <c r="AA130">
        <v>4488844</v>
      </c>
      <c r="AB130" t="s">
        <v>855</v>
      </c>
      <c r="AC130">
        <v>2</v>
      </c>
      <c r="AJ130" s="9" t="str">
        <f t="shared" si="2"/>
        <v>Sin respuesta</v>
      </c>
      <c r="AK130" s="10" t="str">
        <f t="shared" si="3"/>
        <v>Sin respuesta</v>
      </c>
      <c r="AP130"/>
    </row>
    <row r="131" spans="2:42" ht="45" hidden="1">
      <c r="B131">
        <v>5</v>
      </c>
      <c r="C131">
        <v>70953633</v>
      </c>
      <c r="D131" t="s">
        <v>856</v>
      </c>
      <c r="E131" t="s">
        <v>857</v>
      </c>
      <c r="F131">
        <v>70953633</v>
      </c>
      <c r="G131" t="s">
        <v>857</v>
      </c>
      <c r="J131" t="s">
        <v>47</v>
      </c>
      <c r="K131" t="s">
        <v>48</v>
      </c>
      <c r="L131">
        <v>143</v>
      </c>
      <c r="M131">
        <v>139</v>
      </c>
      <c r="N131">
        <v>141</v>
      </c>
      <c r="O131" t="s">
        <v>48</v>
      </c>
      <c r="P131" t="s">
        <v>63</v>
      </c>
      <c r="Q131" t="s">
        <v>858</v>
      </c>
      <c r="R131">
        <v>2024</v>
      </c>
      <c r="S131" t="s">
        <v>65</v>
      </c>
      <c r="T131" t="s">
        <v>293</v>
      </c>
      <c r="U131" s="8">
        <v>45422.636631944442</v>
      </c>
      <c r="V131" s="2" t="s">
        <v>859</v>
      </c>
      <c r="X131" t="s">
        <v>55</v>
      </c>
      <c r="Y131" t="s">
        <v>56</v>
      </c>
      <c r="Z131" t="s">
        <v>807</v>
      </c>
      <c r="AA131">
        <v>8516329</v>
      </c>
      <c r="AB131" t="s">
        <v>860</v>
      </c>
      <c r="AC131">
        <v>2</v>
      </c>
      <c r="AJ131" s="9" t="str">
        <f t="shared" ref="AJ131:AJ194" si="4">IF(AI131="","Sin respuesta",NETWORKDAYS.INTL(X131,AI131,1))</f>
        <v>Sin respuesta</v>
      </c>
      <c r="AK131" s="10" t="str">
        <f t="shared" ref="AK131:AK194" si="5">IF(AJ131="Sin respuesta","Sin respuesta",IF(AJ131&lt;10,"SÏ","No"))</f>
        <v>Sin respuesta</v>
      </c>
      <c r="AP131"/>
    </row>
    <row r="132" spans="2:42" ht="75" hidden="1">
      <c r="B132">
        <v>5</v>
      </c>
      <c r="C132">
        <v>901232911</v>
      </c>
      <c r="D132" t="s">
        <v>861</v>
      </c>
      <c r="E132" t="s">
        <v>862</v>
      </c>
      <c r="F132">
        <v>901232911</v>
      </c>
      <c r="G132" t="s">
        <v>862</v>
      </c>
      <c r="H132" t="s">
        <v>863</v>
      </c>
      <c r="I132" t="s">
        <v>211</v>
      </c>
      <c r="J132" t="s">
        <v>47</v>
      </c>
      <c r="K132" t="s">
        <v>48</v>
      </c>
      <c r="L132">
        <v>143</v>
      </c>
      <c r="M132">
        <v>139</v>
      </c>
      <c r="N132">
        <v>141</v>
      </c>
      <c r="O132" t="s">
        <v>48</v>
      </c>
      <c r="P132" t="s">
        <v>63</v>
      </c>
      <c r="Q132" t="s">
        <v>864</v>
      </c>
      <c r="R132">
        <v>2024</v>
      </c>
      <c r="S132" t="s">
        <v>65</v>
      </c>
      <c r="T132" t="s">
        <v>77</v>
      </c>
      <c r="U132" s="8">
        <v>45422.677268518521</v>
      </c>
      <c r="V132" s="2" t="s">
        <v>865</v>
      </c>
      <c r="X132" t="s">
        <v>55</v>
      </c>
      <c r="Y132" t="s">
        <v>56</v>
      </c>
      <c r="Z132" t="s">
        <v>807</v>
      </c>
      <c r="AA132">
        <v>6044936</v>
      </c>
      <c r="AB132" t="s">
        <v>866</v>
      </c>
      <c r="AC132">
        <v>2</v>
      </c>
      <c r="AJ132" s="9" t="str">
        <f t="shared" si="4"/>
        <v>Sin respuesta</v>
      </c>
      <c r="AK132" s="10" t="str">
        <f t="shared" si="5"/>
        <v>Sin respuesta</v>
      </c>
      <c r="AP132"/>
    </row>
    <row r="133" spans="2:42" ht="75" hidden="1">
      <c r="B133">
        <v>5</v>
      </c>
      <c r="C133">
        <v>901232911</v>
      </c>
      <c r="D133" t="s">
        <v>861</v>
      </c>
      <c r="E133" t="s">
        <v>862</v>
      </c>
      <c r="F133">
        <v>901232911</v>
      </c>
      <c r="G133" t="s">
        <v>862</v>
      </c>
      <c r="H133" t="s">
        <v>863</v>
      </c>
      <c r="I133" t="s">
        <v>211</v>
      </c>
      <c r="J133" t="s">
        <v>47</v>
      </c>
      <c r="K133" t="s">
        <v>48</v>
      </c>
      <c r="L133">
        <v>143</v>
      </c>
      <c r="M133">
        <v>138</v>
      </c>
      <c r="N133">
        <v>141</v>
      </c>
      <c r="O133" t="s">
        <v>48</v>
      </c>
      <c r="P133" t="s">
        <v>63</v>
      </c>
      <c r="Q133" t="s">
        <v>867</v>
      </c>
      <c r="R133">
        <v>2024</v>
      </c>
      <c r="S133" t="s">
        <v>65</v>
      </c>
      <c r="T133" t="s">
        <v>77</v>
      </c>
      <c r="U133" s="8">
        <v>45422.681597222225</v>
      </c>
      <c r="V133" s="2" t="s">
        <v>868</v>
      </c>
      <c r="X133" t="s">
        <v>55</v>
      </c>
      <c r="Y133" t="s">
        <v>56</v>
      </c>
      <c r="Z133" t="s">
        <v>807</v>
      </c>
      <c r="AA133">
        <v>6044936</v>
      </c>
      <c r="AB133" t="s">
        <v>866</v>
      </c>
      <c r="AC133">
        <v>2</v>
      </c>
      <c r="AJ133" s="9" t="str">
        <f t="shared" si="4"/>
        <v>Sin respuesta</v>
      </c>
      <c r="AK133" s="10" t="str">
        <f t="shared" si="5"/>
        <v>Sin respuesta</v>
      </c>
      <c r="AP133"/>
    </row>
    <row r="134" spans="2:42" ht="75" hidden="1">
      <c r="B134">
        <v>5</v>
      </c>
      <c r="C134">
        <v>43141101</v>
      </c>
      <c r="D134" t="s">
        <v>869</v>
      </c>
      <c r="E134" t="s">
        <v>869</v>
      </c>
      <c r="F134">
        <v>43141101</v>
      </c>
      <c r="G134" t="s">
        <v>869</v>
      </c>
      <c r="H134" t="s">
        <v>870</v>
      </c>
      <c r="I134" t="s">
        <v>871</v>
      </c>
      <c r="J134" t="s">
        <v>47</v>
      </c>
      <c r="K134" t="s">
        <v>48</v>
      </c>
      <c r="L134">
        <v>139</v>
      </c>
      <c r="M134">
        <v>132</v>
      </c>
      <c r="N134">
        <v>137</v>
      </c>
      <c r="O134" t="s">
        <v>48</v>
      </c>
      <c r="P134" t="s">
        <v>349</v>
      </c>
      <c r="Q134" t="s">
        <v>872</v>
      </c>
      <c r="R134">
        <v>2024</v>
      </c>
      <c r="S134" t="s">
        <v>65</v>
      </c>
      <c r="T134" t="s">
        <v>148</v>
      </c>
      <c r="U134" s="8">
        <v>45426.45921296296</v>
      </c>
      <c r="V134" s="2" t="s">
        <v>873</v>
      </c>
      <c r="X134" t="s">
        <v>55</v>
      </c>
      <c r="Y134" t="s">
        <v>56</v>
      </c>
      <c r="Z134" t="s">
        <v>807</v>
      </c>
      <c r="AA134">
        <v>3188679821</v>
      </c>
      <c r="AB134" t="s">
        <v>874</v>
      </c>
      <c r="AC134">
        <v>2</v>
      </c>
      <c r="AJ134" s="9" t="str">
        <f t="shared" si="4"/>
        <v>Sin respuesta</v>
      </c>
      <c r="AK134" s="10" t="str">
        <f t="shared" si="5"/>
        <v>Sin respuesta</v>
      </c>
      <c r="AP134"/>
    </row>
    <row r="135" spans="2:42" ht="60" hidden="1">
      <c r="B135">
        <v>5</v>
      </c>
      <c r="C135">
        <v>800175388</v>
      </c>
      <c r="D135" t="s">
        <v>875</v>
      </c>
      <c r="E135" t="s">
        <v>875</v>
      </c>
      <c r="F135">
        <v>800175388</v>
      </c>
      <c r="G135" t="s">
        <v>875</v>
      </c>
      <c r="H135" t="s">
        <v>876</v>
      </c>
      <c r="I135" t="s">
        <v>227</v>
      </c>
      <c r="J135" t="s">
        <v>47</v>
      </c>
      <c r="K135" t="s">
        <v>48</v>
      </c>
      <c r="L135">
        <v>139</v>
      </c>
      <c r="M135">
        <v>130</v>
      </c>
      <c r="N135">
        <v>137</v>
      </c>
      <c r="O135" t="s">
        <v>49</v>
      </c>
      <c r="P135" t="s">
        <v>228</v>
      </c>
      <c r="Q135" t="s">
        <v>877</v>
      </c>
      <c r="R135">
        <v>2024</v>
      </c>
      <c r="S135" t="s">
        <v>65</v>
      </c>
      <c r="T135" t="s">
        <v>125</v>
      </c>
      <c r="U135" s="8">
        <v>45426.485717592594</v>
      </c>
      <c r="V135" s="2" t="s">
        <v>878</v>
      </c>
      <c r="X135" t="s">
        <v>55</v>
      </c>
      <c r="Y135" t="s">
        <v>56</v>
      </c>
      <c r="Z135" t="s">
        <v>807</v>
      </c>
      <c r="AA135">
        <v>8741167</v>
      </c>
      <c r="AB135" t="s">
        <v>879</v>
      </c>
      <c r="AC135">
        <v>3</v>
      </c>
      <c r="AJ135" s="9" t="str">
        <f t="shared" si="4"/>
        <v>Sin respuesta</v>
      </c>
      <c r="AK135" s="10" t="str">
        <f t="shared" si="5"/>
        <v>Sin respuesta</v>
      </c>
      <c r="AP135"/>
    </row>
    <row r="136" spans="2:42" ht="60" hidden="1">
      <c r="B136">
        <v>5</v>
      </c>
      <c r="C136">
        <v>901236453</v>
      </c>
      <c r="D136" t="s">
        <v>128</v>
      </c>
      <c r="E136" t="s">
        <v>128</v>
      </c>
      <c r="F136">
        <v>901236453</v>
      </c>
      <c r="G136" t="s">
        <v>128</v>
      </c>
      <c r="H136" t="s">
        <v>129</v>
      </c>
      <c r="I136" t="s">
        <v>130</v>
      </c>
      <c r="J136" t="s">
        <v>47</v>
      </c>
      <c r="K136" t="s">
        <v>48</v>
      </c>
      <c r="L136">
        <v>139</v>
      </c>
      <c r="M136">
        <v>122</v>
      </c>
      <c r="N136">
        <v>137</v>
      </c>
      <c r="O136" t="s">
        <v>48</v>
      </c>
      <c r="P136" t="s">
        <v>131</v>
      </c>
      <c r="Q136" t="s">
        <v>880</v>
      </c>
      <c r="R136">
        <v>2024</v>
      </c>
      <c r="S136" t="s">
        <v>65</v>
      </c>
      <c r="T136" t="s">
        <v>293</v>
      </c>
      <c r="U136" s="8">
        <v>45426.586759259262</v>
      </c>
      <c r="V136" s="2" t="s">
        <v>881</v>
      </c>
      <c r="X136" t="s">
        <v>55</v>
      </c>
      <c r="Y136" t="s">
        <v>56</v>
      </c>
      <c r="Z136" t="s">
        <v>807</v>
      </c>
      <c r="AA136">
        <v>8262051</v>
      </c>
      <c r="AB136" t="s">
        <v>134</v>
      </c>
      <c r="AC136">
        <v>2</v>
      </c>
      <c r="AJ136" s="9" t="str">
        <f t="shared" si="4"/>
        <v>Sin respuesta</v>
      </c>
      <c r="AK136" s="10" t="str">
        <f t="shared" si="5"/>
        <v>Sin respuesta</v>
      </c>
      <c r="AP136"/>
    </row>
    <row r="137" spans="2:42" ht="45" hidden="1">
      <c r="B137">
        <v>5</v>
      </c>
      <c r="C137">
        <v>900648234</v>
      </c>
      <c r="D137" t="s">
        <v>882</v>
      </c>
      <c r="E137" t="s">
        <v>882</v>
      </c>
      <c r="F137">
        <v>900648234</v>
      </c>
      <c r="G137" t="s">
        <v>882</v>
      </c>
      <c r="H137" t="s">
        <v>883</v>
      </c>
      <c r="I137" t="s">
        <v>884</v>
      </c>
      <c r="J137" t="s">
        <v>114</v>
      </c>
      <c r="K137" t="s">
        <v>48</v>
      </c>
      <c r="L137">
        <v>138</v>
      </c>
      <c r="M137">
        <v>132</v>
      </c>
      <c r="N137">
        <v>136</v>
      </c>
      <c r="O137" t="s">
        <v>49</v>
      </c>
      <c r="P137" t="s">
        <v>131</v>
      </c>
      <c r="Q137" t="s">
        <v>885</v>
      </c>
      <c r="R137">
        <v>2024</v>
      </c>
      <c r="S137" t="s">
        <v>52</v>
      </c>
      <c r="T137" t="s">
        <v>116</v>
      </c>
      <c r="U137" s="8">
        <v>45427.427523148152</v>
      </c>
      <c r="V137" s="2" t="s">
        <v>886</v>
      </c>
      <c r="X137" t="s">
        <v>55</v>
      </c>
      <c r="Y137" t="s">
        <v>56</v>
      </c>
      <c r="Z137" t="s">
        <v>807</v>
      </c>
      <c r="AA137">
        <v>8233222</v>
      </c>
      <c r="AB137" t="s">
        <v>887</v>
      </c>
      <c r="AC137">
        <v>3</v>
      </c>
      <c r="AJ137" s="9" t="str">
        <f t="shared" si="4"/>
        <v>Sin respuesta</v>
      </c>
      <c r="AK137" s="10" t="str">
        <f t="shared" si="5"/>
        <v>Sin respuesta</v>
      </c>
      <c r="AP137"/>
    </row>
    <row r="138" spans="2:42" ht="45" hidden="1">
      <c r="B138">
        <v>5</v>
      </c>
      <c r="C138">
        <v>900308111</v>
      </c>
      <c r="D138" t="s">
        <v>849</v>
      </c>
      <c r="E138" t="s">
        <v>850</v>
      </c>
      <c r="F138">
        <v>900308111</v>
      </c>
      <c r="G138" t="s">
        <v>850</v>
      </c>
      <c r="H138" t="s">
        <v>851</v>
      </c>
      <c r="I138" t="s">
        <v>852</v>
      </c>
      <c r="J138" t="s">
        <v>47</v>
      </c>
      <c r="K138" t="s">
        <v>48</v>
      </c>
      <c r="L138">
        <v>138</v>
      </c>
      <c r="M138">
        <v>132</v>
      </c>
      <c r="N138">
        <v>136</v>
      </c>
      <c r="O138" t="s">
        <v>48</v>
      </c>
      <c r="P138" t="s">
        <v>63</v>
      </c>
      <c r="Q138" t="s">
        <v>888</v>
      </c>
      <c r="R138">
        <v>2024</v>
      </c>
      <c r="S138" t="s">
        <v>65</v>
      </c>
      <c r="T138" t="s">
        <v>293</v>
      </c>
      <c r="U138" s="8">
        <v>45427.715150462966</v>
      </c>
      <c r="V138" s="2" t="s">
        <v>889</v>
      </c>
      <c r="X138" t="s">
        <v>55</v>
      </c>
      <c r="Y138" t="s">
        <v>56</v>
      </c>
      <c r="Z138" t="s">
        <v>807</v>
      </c>
      <c r="AA138">
        <v>4488844</v>
      </c>
      <c r="AB138" t="s">
        <v>855</v>
      </c>
      <c r="AC138">
        <v>2</v>
      </c>
      <c r="AJ138" s="9" t="str">
        <f t="shared" si="4"/>
        <v>Sin respuesta</v>
      </c>
      <c r="AK138" s="10" t="str">
        <f t="shared" si="5"/>
        <v>Sin respuesta</v>
      </c>
      <c r="AP138"/>
    </row>
    <row r="139" spans="2:42" ht="45" hidden="1">
      <c r="B139">
        <v>5</v>
      </c>
      <c r="C139">
        <v>900433054</v>
      </c>
      <c r="D139" t="s">
        <v>890</v>
      </c>
      <c r="E139" t="s">
        <v>890</v>
      </c>
      <c r="F139">
        <v>900433054</v>
      </c>
      <c r="G139" t="s">
        <v>890</v>
      </c>
      <c r="H139" t="s">
        <v>891</v>
      </c>
      <c r="I139" t="s">
        <v>892</v>
      </c>
      <c r="J139" t="s">
        <v>47</v>
      </c>
      <c r="K139" t="s">
        <v>48</v>
      </c>
      <c r="L139">
        <v>138</v>
      </c>
      <c r="M139">
        <v>122</v>
      </c>
      <c r="N139">
        <v>136</v>
      </c>
      <c r="O139" t="s">
        <v>48</v>
      </c>
      <c r="P139" t="s">
        <v>63</v>
      </c>
      <c r="Q139" t="s">
        <v>893</v>
      </c>
      <c r="R139">
        <v>2024</v>
      </c>
      <c r="S139" t="s">
        <v>65</v>
      </c>
      <c r="T139" t="s">
        <v>293</v>
      </c>
      <c r="U139" s="8">
        <v>45427.719872685186</v>
      </c>
      <c r="V139" s="2" t="s">
        <v>894</v>
      </c>
      <c r="X139" t="s">
        <v>55</v>
      </c>
      <c r="Y139" t="s">
        <v>56</v>
      </c>
      <c r="Z139" t="s">
        <v>807</v>
      </c>
      <c r="AA139">
        <v>8370353</v>
      </c>
      <c r="AB139" t="s">
        <v>895</v>
      </c>
      <c r="AC139">
        <v>2</v>
      </c>
      <c r="AJ139" s="9" t="str">
        <f t="shared" si="4"/>
        <v>Sin respuesta</v>
      </c>
      <c r="AK139" s="10" t="str">
        <f t="shared" si="5"/>
        <v>Sin respuesta</v>
      </c>
      <c r="AP139"/>
    </row>
    <row r="140" spans="2:42" s="16" customFormat="1" ht="51" hidden="1" customHeight="1">
      <c r="B140" s="16">
        <v>5</v>
      </c>
      <c r="C140" s="16">
        <v>900798564</v>
      </c>
      <c r="D140" s="16" t="s">
        <v>896</v>
      </c>
      <c r="E140" s="16" t="s">
        <v>897</v>
      </c>
      <c r="F140">
        <v>900798564</v>
      </c>
      <c r="G140" t="s">
        <v>897</v>
      </c>
      <c r="H140" t="s">
        <v>898</v>
      </c>
      <c r="I140" t="s">
        <v>899</v>
      </c>
      <c r="J140" t="s">
        <v>114</v>
      </c>
      <c r="K140" t="s">
        <v>48</v>
      </c>
      <c r="L140">
        <v>137</v>
      </c>
      <c r="M140">
        <v>137</v>
      </c>
      <c r="N140">
        <v>135</v>
      </c>
      <c r="O140" t="s">
        <v>436</v>
      </c>
      <c r="P140" t="s">
        <v>900</v>
      </c>
      <c r="Q140" s="16" t="s">
        <v>901</v>
      </c>
      <c r="R140" s="16">
        <v>2024</v>
      </c>
      <c r="S140" s="16" t="s">
        <v>52</v>
      </c>
      <c r="T140" s="16" t="s">
        <v>116</v>
      </c>
      <c r="U140" s="17">
        <v>45428.508043981485</v>
      </c>
      <c r="V140" s="18" t="s">
        <v>902</v>
      </c>
      <c r="W140"/>
      <c r="X140" t="s">
        <v>55</v>
      </c>
      <c r="Y140" t="s">
        <v>368</v>
      </c>
      <c r="Z140" t="s">
        <v>807</v>
      </c>
      <c r="AA140">
        <v>5782428</v>
      </c>
      <c r="AB140" t="s">
        <v>903</v>
      </c>
      <c r="AC140">
        <v>7</v>
      </c>
      <c r="AD140" s="19" t="s">
        <v>904</v>
      </c>
      <c r="AE140" s="20"/>
      <c r="AG140" s="15"/>
      <c r="AJ140" s="21" t="str">
        <f t="shared" si="4"/>
        <v>Sin respuesta</v>
      </c>
      <c r="AK140" s="22" t="str">
        <f t="shared" si="5"/>
        <v>Sin respuesta</v>
      </c>
      <c r="AN140" s="20" t="s">
        <v>440</v>
      </c>
    </row>
    <row r="141" spans="2:42" ht="45" hidden="1">
      <c r="B141">
        <v>5</v>
      </c>
      <c r="C141">
        <v>900798564</v>
      </c>
      <c r="D141" t="s">
        <v>896</v>
      </c>
      <c r="E141" t="s">
        <v>897</v>
      </c>
      <c r="F141">
        <v>900798564</v>
      </c>
      <c r="G141" t="s">
        <v>897</v>
      </c>
      <c r="H141" t="s">
        <v>898</v>
      </c>
      <c r="I141" t="s">
        <v>899</v>
      </c>
      <c r="J141" t="s">
        <v>114</v>
      </c>
      <c r="K141" t="s">
        <v>48</v>
      </c>
      <c r="L141">
        <v>137</v>
      </c>
      <c r="M141">
        <v>132</v>
      </c>
      <c r="N141">
        <v>135</v>
      </c>
      <c r="O141" t="s">
        <v>49</v>
      </c>
      <c r="P141" t="s">
        <v>900</v>
      </c>
      <c r="Q141" t="s">
        <v>905</v>
      </c>
      <c r="R141">
        <v>2024</v>
      </c>
      <c r="S141" t="s">
        <v>52</v>
      </c>
      <c r="T141" t="s">
        <v>116</v>
      </c>
      <c r="U141" s="8">
        <v>45428.523819444446</v>
      </c>
      <c r="V141" s="2" t="s">
        <v>906</v>
      </c>
      <c r="X141" t="s">
        <v>55</v>
      </c>
      <c r="Y141" t="s">
        <v>56</v>
      </c>
      <c r="Z141" t="s">
        <v>807</v>
      </c>
      <c r="AA141">
        <v>5782428</v>
      </c>
      <c r="AB141" t="s">
        <v>903</v>
      </c>
      <c r="AC141">
        <v>3</v>
      </c>
      <c r="AF141" s="2"/>
      <c r="AJ141" s="11" t="str">
        <f t="shared" si="4"/>
        <v>Sin respuesta</v>
      </c>
      <c r="AK141" s="12" t="str">
        <f t="shared" si="5"/>
        <v>Sin respuesta</v>
      </c>
      <c r="AP141"/>
    </row>
    <row r="142" spans="2:42" ht="45" hidden="1">
      <c r="B142">
        <v>5</v>
      </c>
      <c r="C142">
        <v>3497299</v>
      </c>
      <c r="D142" t="s">
        <v>337</v>
      </c>
      <c r="E142" t="s">
        <v>338</v>
      </c>
      <c r="F142">
        <v>3497299</v>
      </c>
      <c r="G142" t="s">
        <v>338</v>
      </c>
      <c r="H142" t="s">
        <v>340</v>
      </c>
      <c r="I142" t="s">
        <v>264</v>
      </c>
      <c r="J142" t="s">
        <v>47</v>
      </c>
      <c r="K142" t="s">
        <v>48</v>
      </c>
      <c r="L142">
        <v>137</v>
      </c>
      <c r="M142">
        <v>80</v>
      </c>
      <c r="N142">
        <v>135</v>
      </c>
      <c r="O142" t="s">
        <v>48</v>
      </c>
      <c r="P142" t="s">
        <v>265</v>
      </c>
      <c r="Q142" t="s">
        <v>907</v>
      </c>
      <c r="R142">
        <v>2024</v>
      </c>
      <c r="S142" t="s">
        <v>190</v>
      </c>
      <c r="T142" t="s">
        <v>908</v>
      </c>
      <c r="U142" s="8">
        <v>45428.693553240744</v>
      </c>
      <c r="V142" s="2" t="s">
        <v>909</v>
      </c>
      <c r="X142" t="s">
        <v>55</v>
      </c>
      <c r="Y142" t="s">
        <v>56</v>
      </c>
      <c r="Z142" t="s">
        <v>807</v>
      </c>
      <c r="AA142">
        <v>7824466</v>
      </c>
      <c r="AB142" t="s">
        <v>343</v>
      </c>
      <c r="AC142">
        <v>2</v>
      </c>
      <c r="AJ142" s="9" t="str">
        <f t="shared" si="4"/>
        <v>Sin respuesta</v>
      </c>
      <c r="AK142" s="10" t="str">
        <f t="shared" si="5"/>
        <v>Sin respuesta</v>
      </c>
      <c r="AP142"/>
    </row>
    <row r="143" spans="2:42" ht="45" hidden="1">
      <c r="B143">
        <v>5</v>
      </c>
      <c r="C143">
        <v>900648234</v>
      </c>
      <c r="D143" t="s">
        <v>882</v>
      </c>
      <c r="E143" t="s">
        <v>882</v>
      </c>
      <c r="F143">
        <v>900648234</v>
      </c>
      <c r="G143" t="s">
        <v>882</v>
      </c>
      <c r="H143" t="s">
        <v>883</v>
      </c>
      <c r="I143" t="s">
        <v>884</v>
      </c>
      <c r="J143" t="s">
        <v>114</v>
      </c>
      <c r="K143" t="s">
        <v>48</v>
      </c>
      <c r="L143">
        <v>136</v>
      </c>
      <c r="M143">
        <v>136</v>
      </c>
      <c r="N143">
        <v>134</v>
      </c>
      <c r="O143" t="s">
        <v>49</v>
      </c>
      <c r="P143" t="s">
        <v>131</v>
      </c>
      <c r="Q143" t="s">
        <v>910</v>
      </c>
      <c r="R143">
        <v>2024</v>
      </c>
      <c r="S143" t="s">
        <v>52</v>
      </c>
      <c r="T143" t="s">
        <v>116</v>
      </c>
      <c r="U143" s="8">
        <v>45429.506956018522</v>
      </c>
      <c r="V143" s="2" t="s">
        <v>911</v>
      </c>
      <c r="X143" t="s">
        <v>55</v>
      </c>
      <c r="Y143" t="s">
        <v>368</v>
      </c>
      <c r="Z143" t="s">
        <v>807</v>
      </c>
      <c r="AA143">
        <v>8233222</v>
      </c>
      <c r="AB143" t="s">
        <v>887</v>
      </c>
      <c r="AC143">
        <v>3</v>
      </c>
      <c r="AJ143" s="9" t="str">
        <f t="shared" si="4"/>
        <v>Sin respuesta</v>
      </c>
      <c r="AK143" s="10" t="str">
        <f t="shared" si="5"/>
        <v>Sin respuesta</v>
      </c>
      <c r="AP143"/>
    </row>
    <row r="144" spans="2:42" ht="105" hidden="1">
      <c r="B144">
        <v>5</v>
      </c>
      <c r="C144">
        <v>800198575</v>
      </c>
      <c r="D144" t="s">
        <v>912</v>
      </c>
      <c r="E144" t="s">
        <v>912</v>
      </c>
      <c r="F144">
        <v>800198575</v>
      </c>
      <c r="G144" t="s">
        <v>912</v>
      </c>
      <c r="H144" t="s">
        <v>913</v>
      </c>
      <c r="I144" t="s">
        <v>160</v>
      </c>
      <c r="J144" t="s">
        <v>47</v>
      </c>
      <c r="K144" t="s">
        <v>48</v>
      </c>
      <c r="L144">
        <v>136</v>
      </c>
      <c r="M144">
        <v>98</v>
      </c>
      <c r="N144">
        <v>134</v>
      </c>
      <c r="O144" t="s">
        <v>48</v>
      </c>
      <c r="P144" t="s">
        <v>63</v>
      </c>
      <c r="Q144" t="s">
        <v>914</v>
      </c>
      <c r="R144">
        <v>2024</v>
      </c>
      <c r="S144" t="s">
        <v>65</v>
      </c>
      <c r="T144" t="s">
        <v>334</v>
      </c>
      <c r="U144" s="8">
        <v>45429.666550925926</v>
      </c>
      <c r="V144" s="2" t="s">
        <v>915</v>
      </c>
      <c r="X144" t="s">
        <v>55</v>
      </c>
      <c r="Y144" t="s">
        <v>56</v>
      </c>
      <c r="Z144" t="s">
        <v>807</v>
      </c>
      <c r="AA144">
        <v>2851400</v>
      </c>
      <c r="AB144" t="s">
        <v>916</v>
      </c>
      <c r="AC144">
        <v>2</v>
      </c>
      <c r="AJ144" s="9" t="str">
        <f t="shared" si="4"/>
        <v>Sin respuesta</v>
      </c>
      <c r="AK144" s="10" t="str">
        <f t="shared" si="5"/>
        <v>Sin respuesta</v>
      </c>
      <c r="AP144"/>
    </row>
    <row r="145" spans="2:43" ht="75" hidden="1">
      <c r="B145">
        <v>5</v>
      </c>
      <c r="C145">
        <v>800198575</v>
      </c>
      <c r="D145" t="s">
        <v>912</v>
      </c>
      <c r="E145" t="s">
        <v>912</v>
      </c>
      <c r="F145">
        <v>800198575</v>
      </c>
      <c r="G145" t="s">
        <v>912</v>
      </c>
      <c r="H145" t="s">
        <v>913</v>
      </c>
      <c r="I145" t="s">
        <v>160</v>
      </c>
      <c r="J145" t="s">
        <v>47</v>
      </c>
      <c r="K145" t="s">
        <v>48</v>
      </c>
      <c r="L145">
        <v>136</v>
      </c>
      <c r="M145">
        <v>132</v>
      </c>
      <c r="N145">
        <v>134</v>
      </c>
      <c r="O145" t="s">
        <v>48</v>
      </c>
      <c r="P145" t="s">
        <v>63</v>
      </c>
      <c r="Q145" t="s">
        <v>917</v>
      </c>
      <c r="R145">
        <v>2024</v>
      </c>
      <c r="S145" t="s">
        <v>65</v>
      </c>
      <c r="T145" t="s">
        <v>334</v>
      </c>
      <c r="U145" s="8">
        <v>45429.678761574076</v>
      </c>
      <c r="V145" s="2" t="s">
        <v>918</v>
      </c>
      <c r="X145" t="s">
        <v>55</v>
      </c>
      <c r="Y145" t="s">
        <v>56</v>
      </c>
      <c r="Z145" t="s">
        <v>807</v>
      </c>
      <c r="AA145">
        <v>2851400</v>
      </c>
      <c r="AB145" t="s">
        <v>916</v>
      </c>
      <c r="AC145">
        <v>2</v>
      </c>
      <c r="AJ145" s="9" t="str">
        <f t="shared" si="4"/>
        <v>Sin respuesta</v>
      </c>
      <c r="AK145" s="10" t="str">
        <f t="shared" si="5"/>
        <v>Sin respuesta</v>
      </c>
      <c r="AP145"/>
    </row>
    <row r="146" spans="2:43" ht="60" hidden="1">
      <c r="B146">
        <v>5</v>
      </c>
      <c r="C146">
        <v>901059334</v>
      </c>
      <c r="D146" t="s">
        <v>919</v>
      </c>
      <c r="E146" t="s">
        <v>920</v>
      </c>
      <c r="F146">
        <v>901059334</v>
      </c>
      <c r="G146" t="s">
        <v>920</v>
      </c>
      <c r="H146" t="s">
        <v>921</v>
      </c>
      <c r="I146" t="s">
        <v>840</v>
      </c>
      <c r="J146" t="s">
        <v>47</v>
      </c>
      <c r="K146" t="s">
        <v>48</v>
      </c>
      <c r="L146">
        <v>136</v>
      </c>
      <c r="M146">
        <v>110</v>
      </c>
      <c r="N146">
        <v>134</v>
      </c>
      <c r="O146" t="s">
        <v>49</v>
      </c>
      <c r="P146" t="s">
        <v>478</v>
      </c>
      <c r="Q146" t="s">
        <v>922</v>
      </c>
      <c r="R146">
        <v>2024</v>
      </c>
      <c r="S146" t="s">
        <v>65</v>
      </c>
      <c r="T146" t="s">
        <v>125</v>
      </c>
      <c r="U146" s="8">
        <v>45429.701331018521</v>
      </c>
      <c r="V146" s="2" t="s">
        <v>923</v>
      </c>
      <c r="X146" t="s">
        <v>55</v>
      </c>
      <c r="Y146" t="s">
        <v>56</v>
      </c>
      <c r="Z146" t="s">
        <v>807</v>
      </c>
      <c r="AA146">
        <v>5901416</v>
      </c>
      <c r="AB146" t="s">
        <v>924</v>
      </c>
      <c r="AC146">
        <v>3</v>
      </c>
      <c r="AJ146" s="9" t="str">
        <f t="shared" si="4"/>
        <v>Sin respuesta</v>
      </c>
      <c r="AK146" s="10" t="str">
        <f t="shared" si="5"/>
        <v>Sin respuesta</v>
      </c>
      <c r="AP146"/>
    </row>
    <row r="147" spans="2:43" ht="75" hidden="1">
      <c r="B147">
        <v>5</v>
      </c>
      <c r="C147">
        <v>901449615</v>
      </c>
      <c r="D147" t="s">
        <v>925</v>
      </c>
      <c r="E147" t="s">
        <v>925</v>
      </c>
      <c r="F147">
        <v>901449615</v>
      </c>
      <c r="G147" t="s">
        <v>925</v>
      </c>
      <c r="H147" t="s">
        <v>926</v>
      </c>
      <c r="I147" t="s">
        <v>927</v>
      </c>
      <c r="J147" t="s">
        <v>47</v>
      </c>
      <c r="K147" t="s">
        <v>48</v>
      </c>
      <c r="L147">
        <v>133</v>
      </c>
      <c r="M147">
        <v>130</v>
      </c>
      <c r="N147">
        <v>131</v>
      </c>
      <c r="O147" t="s">
        <v>49</v>
      </c>
      <c r="P147" t="s">
        <v>265</v>
      </c>
      <c r="Q147" t="s">
        <v>928</v>
      </c>
      <c r="R147">
        <v>2024</v>
      </c>
      <c r="S147" t="s">
        <v>65</v>
      </c>
      <c r="T147" t="s">
        <v>125</v>
      </c>
      <c r="U147" s="8">
        <v>45432.51295138889</v>
      </c>
      <c r="V147" s="2" t="s">
        <v>929</v>
      </c>
      <c r="X147" t="s">
        <v>55</v>
      </c>
      <c r="Y147" t="s">
        <v>56</v>
      </c>
      <c r="Z147" t="s">
        <v>807</v>
      </c>
      <c r="AA147">
        <v>7732179</v>
      </c>
      <c r="AB147" t="s">
        <v>930</v>
      </c>
      <c r="AC147">
        <v>3</v>
      </c>
      <c r="AJ147" s="9" t="str">
        <f t="shared" si="4"/>
        <v>Sin respuesta</v>
      </c>
      <c r="AK147" s="10" t="str">
        <f t="shared" si="5"/>
        <v>Sin respuesta</v>
      </c>
      <c r="AP147"/>
    </row>
    <row r="148" spans="2:43" ht="45" hidden="1">
      <c r="B148">
        <v>5</v>
      </c>
      <c r="C148">
        <v>43463139</v>
      </c>
      <c r="D148" t="s">
        <v>931</v>
      </c>
      <c r="E148" t="s">
        <v>932</v>
      </c>
      <c r="F148">
        <v>43463139</v>
      </c>
      <c r="G148" t="s">
        <v>932</v>
      </c>
      <c r="H148" t="s">
        <v>933</v>
      </c>
      <c r="I148" t="s">
        <v>934</v>
      </c>
      <c r="J148" t="s">
        <v>47</v>
      </c>
      <c r="K148" t="s">
        <v>48</v>
      </c>
      <c r="L148">
        <v>132</v>
      </c>
      <c r="M148">
        <v>131</v>
      </c>
      <c r="N148">
        <v>130</v>
      </c>
      <c r="O148" t="s">
        <v>48</v>
      </c>
      <c r="P148" t="s">
        <v>63</v>
      </c>
      <c r="Q148" t="s">
        <v>935</v>
      </c>
      <c r="R148">
        <v>2024</v>
      </c>
      <c r="S148" t="s">
        <v>65</v>
      </c>
      <c r="T148" t="s">
        <v>293</v>
      </c>
      <c r="U148" s="8">
        <v>45433.452025462961</v>
      </c>
      <c r="V148" s="2" t="s">
        <v>936</v>
      </c>
      <c r="X148" t="s">
        <v>55</v>
      </c>
      <c r="Y148" t="s">
        <v>56</v>
      </c>
      <c r="Z148" t="s">
        <v>807</v>
      </c>
      <c r="AA148">
        <v>3104267979</v>
      </c>
      <c r="AB148" t="s">
        <v>937</v>
      </c>
      <c r="AC148">
        <v>2</v>
      </c>
      <c r="AJ148" s="9" t="str">
        <f t="shared" si="4"/>
        <v>Sin respuesta</v>
      </c>
      <c r="AK148" s="10" t="str">
        <f t="shared" si="5"/>
        <v>Sin respuesta</v>
      </c>
      <c r="AP148"/>
    </row>
    <row r="149" spans="2:43" ht="60" hidden="1">
      <c r="B149">
        <v>5</v>
      </c>
      <c r="C149">
        <v>890932940</v>
      </c>
      <c r="D149" t="s">
        <v>553</v>
      </c>
      <c r="E149" t="s">
        <v>554</v>
      </c>
      <c r="F149">
        <v>890932940</v>
      </c>
      <c r="G149" t="s">
        <v>554</v>
      </c>
      <c r="H149" t="s">
        <v>556</v>
      </c>
      <c r="I149" t="s">
        <v>160</v>
      </c>
      <c r="J149" t="s">
        <v>114</v>
      </c>
      <c r="K149" t="s">
        <v>48</v>
      </c>
      <c r="L149">
        <v>131</v>
      </c>
      <c r="M149">
        <v>131</v>
      </c>
      <c r="N149">
        <v>129</v>
      </c>
      <c r="O149" t="s">
        <v>49</v>
      </c>
      <c r="P149" t="s">
        <v>63</v>
      </c>
      <c r="Q149" t="s">
        <v>938</v>
      </c>
      <c r="R149">
        <v>2024</v>
      </c>
      <c r="S149" t="s">
        <v>52</v>
      </c>
      <c r="T149" t="s">
        <v>116</v>
      </c>
      <c r="U149" s="8">
        <v>45434.399178240739</v>
      </c>
      <c r="V149" s="2" t="s">
        <v>939</v>
      </c>
      <c r="X149" t="s">
        <v>55</v>
      </c>
      <c r="Y149" t="s">
        <v>56</v>
      </c>
      <c r="Z149" t="s">
        <v>807</v>
      </c>
      <c r="AA149">
        <v>4440340</v>
      </c>
      <c r="AB149" t="s">
        <v>559</v>
      </c>
      <c r="AC149">
        <v>3</v>
      </c>
      <c r="AJ149" s="9" t="str">
        <f t="shared" si="4"/>
        <v>Sin respuesta</v>
      </c>
      <c r="AK149" s="10" t="str">
        <f t="shared" si="5"/>
        <v>Sin respuesta</v>
      </c>
      <c r="AP149"/>
    </row>
    <row r="150" spans="2:43" ht="60" hidden="1">
      <c r="B150">
        <v>5</v>
      </c>
      <c r="C150">
        <v>900028263</v>
      </c>
      <c r="D150" t="s">
        <v>940</v>
      </c>
      <c r="E150" t="s">
        <v>941</v>
      </c>
      <c r="F150">
        <v>900028263</v>
      </c>
      <c r="G150" t="s">
        <v>942</v>
      </c>
      <c r="H150" t="s">
        <v>943</v>
      </c>
      <c r="I150" t="s">
        <v>402</v>
      </c>
      <c r="J150" t="s">
        <v>47</v>
      </c>
      <c r="K150" t="s">
        <v>48</v>
      </c>
      <c r="L150">
        <v>131</v>
      </c>
      <c r="M150">
        <v>110</v>
      </c>
      <c r="N150">
        <v>129</v>
      </c>
      <c r="O150" t="s">
        <v>436</v>
      </c>
      <c r="P150" t="s">
        <v>63</v>
      </c>
      <c r="Q150" t="s">
        <v>944</v>
      </c>
      <c r="R150">
        <v>2024</v>
      </c>
      <c r="S150" t="s">
        <v>65</v>
      </c>
      <c r="T150" t="s">
        <v>66</v>
      </c>
      <c r="U150" s="8">
        <v>45434.416620370372</v>
      </c>
      <c r="V150" s="2" t="s">
        <v>945</v>
      </c>
      <c r="X150" t="s">
        <v>55</v>
      </c>
      <c r="Y150" t="s">
        <v>56</v>
      </c>
      <c r="Z150" t="s">
        <v>807</v>
      </c>
      <c r="AA150">
        <v>6040062</v>
      </c>
      <c r="AB150" t="s">
        <v>946</v>
      </c>
      <c r="AC150">
        <v>7</v>
      </c>
      <c r="AD150" s="14" t="s">
        <v>589</v>
      </c>
      <c r="AE150" s="15" t="s">
        <v>947</v>
      </c>
      <c r="AF150" t="s">
        <v>948</v>
      </c>
      <c r="AG150" s="15" t="s">
        <v>592</v>
      </c>
      <c r="AH150" t="s">
        <v>55</v>
      </c>
      <c r="AI150" s="8">
        <v>45442</v>
      </c>
      <c r="AJ150" s="9" t="e">
        <f t="shared" si="4"/>
        <v>#VALUE!</v>
      </c>
      <c r="AK150" s="10" t="e">
        <f t="shared" si="5"/>
        <v>#VALUE!</v>
      </c>
      <c r="AL150" t="s">
        <v>594</v>
      </c>
      <c r="AM150" t="s">
        <v>607</v>
      </c>
      <c r="AN150" s="15" t="s">
        <v>949</v>
      </c>
      <c r="AP150">
        <v>624312</v>
      </c>
      <c r="AQ150" t="s">
        <v>598</v>
      </c>
    </row>
    <row r="151" spans="2:43" ht="90" hidden="1">
      <c r="B151">
        <v>5</v>
      </c>
      <c r="C151">
        <v>77179843</v>
      </c>
      <c r="D151" t="s">
        <v>950</v>
      </c>
      <c r="E151" t="s">
        <v>951</v>
      </c>
      <c r="F151">
        <v>77179843</v>
      </c>
      <c r="G151" t="s">
        <v>951</v>
      </c>
      <c r="H151" t="s">
        <v>952</v>
      </c>
      <c r="I151" t="s">
        <v>477</v>
      </c>
      <c r="J151" t="s">
        <v>47</v>
      </c>
      <c r="K151" t="s">
        <v>48</v>
      </c>
      <c r="L151">
        <v>131</v>
      </c>
      <c r="M151">
        <v>116</v>
      </c>
      <c r="N151">
        <v>129</v>
      </c>
      <c r="O151" t="s">
        <v>48</v>
      </c>
      <c r="P151" t="s">
        <v>478</v>
      </c>
      <c r="Q151" t="s">
        <v>953</v>
      </c>
      <c r="R151">
        <v>2024</v>
      </c>
      <c r="S151" t="s">
        <v>65</v>
      </c>
      <c r="T151" t="s">
        <v>334</v>
      </c>
      <c r="U151" s="8">
        <v>45434.639675925922</v>
      </c>
      <c r="V151" s="2" t="s">
        <v>954</v>
      </c>
      <c r="X151" t="s">
        <v>55</v>
      </c>
      <c r="Y151" t="s">
        <v>56</v>
      </c>
      <c r="Z151" t="s">
        <v>807</v>
      </c>
      <c r="AA151">
        <v>3158674768</v>
      </c>
      <c r="AB151" t="s">
        <v>955</v>
      </c>
      <c r="AC151">
        <v>2</v>
      </c>
      <c r="AF151" s="2"/>
      <c r="AJ151" s="11" t="str">
        <f t="shared" si="4"/>
        <v>Sin respuesta</v>
      </c>
      <c r="AK151" s="12" t="str">
        <f t="shared" si="5"/>
        <v>Sin respuesta</v>
      </c>
      <c r="AP151"/>
    </row>
    <row r="152" spans="2:43" ht="45" hidden="1">
      <c r="B152">
        <v>5</v>
      </c>
      <c r="C152">
        <v>8012194</v>
      </c>
      <c r="D152" t="s">
        <v>956</v>
      </c>
      <c r="E152" t="s">
        <v>956</v>
      </c>
      <c r="F152">
        <v>8300144</v>
      </c>
      <c r="G152" t="s">
        <v>956</v>
      </c>
      <c r="H152" t="s">
        <v>957</v>
      </c>
      <c r="I152" t="s">
        <v>958</v>
      </c>
      <c r="J152" t="s">
        <v>47</v>
      </c>
      <c r="K152" t="s">
        <v>48</v>
      </c>
      <c r="L152">
        <v>131</v>
      </c>
      <c r="M152">
        <v>122</v>
      </c>
      <c r="N152">
        <v>129</v>
      </c>
      <c r="O152" t="s">
        <v>62</v>
      </c>
      <c r="P152" t="s">
        <v>63</v>
      </c>
      <c r="Q152" t="s">
        <v>959</v>
      </c>
      <c r="R152">
        <v>2024</v>
      </c>
      <c r="S152" t="s">
        <v>65</v>
      </c>
      <c r="T152" t="s">
        <v>66</v>
      </c>
      <c r="U152" s="8">
        <v>45434.659363425926</v>
      </c>
      <c r="V152" s="2" t="s">
        <v>960</v>
      </c>
      <c r="X152" t="s">
        <v>55</v>
      </c>
      <c r="Y152" t="s">
        <v>56</v>
      </c>
      <c r="Z152" t="s">
        <v>807</v>
      </c>
      <c r="AA152">
        <v>8300144</v>
      </c>
      <c r="AB152" t="s">
        <v>961</v>
      </c>
      <c r="AC152">
        <v>6</v>
      </c>
      <c r="AD152" s="2" t="s">
        <v>91</v>
      </c>
      <c r="AJ152" s="9" t="str">
        <f t="shared" si="4"/>
        <v>Sin respuesta</v>
      </c>
      <c r="AK152" s="10" t="str">
        <f t="shared" si="5"/>
        <v>Sin respuesta</v>
      </c>
      <c r="AP152"/>
    </row>
    <row r="153" spans="2:43" ht="150" hidden="1">
      <c r="B153">
        <v>5</v>
      </c>
      <c r="C153">
        <v>900513041</v>
      </c>
      <c r="D153" t="s">
        <v>735</v>
      </c>
      <c r="E153" t="s">
        <v>735</v>
      </c>
      <c r="F153">
        <v>900513041</v>
      </c>
      <c r="G153" t="s">
        <v>735</v>
      </c>
      <c r="H153" t="s">
        <v>737</v>
      </c>
      <c r="I153" t="s">
        <v>197</v>
      </c>
      <c r="J153" t="s">
        <v>47</v>
      </c>
      <c r="K153" t="s">
        <v>48</v>
      </c>
      <c r="L153">
        <v>131</v>
      </c>
      <c r="M153">
        <v>116</v>
      </c>
      <c r="N153">
        <v>129</v>
      </c>
      <c r="O153" t="s">
        <v>48</v>
      </c>
      <c r="P153" t="s">
        <v>198</v>
      </c>
      <c r="Q153" t="s">
        <v>962</v>
      </c>
      <c r="R153">
        <v>2024</v>
      </c>
      <c r="S153" t="s">
        <v>65</v>
      </c>
      <c r="T153" t="s">
        <v>334</v>
      </c>
      <c r="U153" s="8">
        <v>45434.684178240743</v>
      </c>
      <c r="V153" s="2" t="s">
        <v>963</v>
      </c>
      <c r="X153" t="s">
        <v>55</v>
      </c>
      <c r="Y153" t="s">
        <v>56</v>
      </c>
      <c r="Z153" t="s">
        <v>807</v>
      </c>
      <c r="AA153">
        <v>4368380</v>
      </c>
      <c r="AB153" t="s">
        <v>740</v>
      </c>
      <c r="AC153">
        <v>2</v>
      </c>
      <c r="AF153" s="2"/>
      <c r="AJ153" s="11" t="str">
        <f t="shared" si="4"/>
        <v>Sin respuesta</v>
      </c>
      <c r="AK153" s="12" t="str">
        <f t="shared" si="5"/>
        <v>Sin respuesta</v>
      </c>
      <c r="AP153"/>
    </row>
    <row r="154" spans="2:43" ht="45" hidden="1">
      <c r="B154">
        <v>5</v>
      </c>
      <c r="C154">
        <v>1077425531</v>
      </c>
      <c r="D154" t="s">
        <v>452</v>
      </c>
      <c r="E154" t="s">
        <v>453</v>
      </c>
      <c r="F154">
        <v>1077425531</v>
      </c>
      <c r="G154" t="s">
        <v>453</v>
      </c>
      <c r="H154" t="s">
        <v>454</v>
      </c>
      <c r="I154" t="s">
        <v>455</v>
      </c>
      <c r="J154" t="s">
        <v>47</v>
      </c>
      <c r="K154" t="s">
        <v>48</v>
      </c>
      <c r="L154">
        <v>131</v>
      </c>
      <c r="M154">
        <v>125</v>
      </c>
      <c r="N154">
        <v>129</v>
      </c>
      <c r="O154" t="s">
        <v>48</v>
      </c>
      <c r="P154" t="s">
        <v>456</v>
      </c>
      <c r="Q154" t="s">
        <v>964</v>
      </c>
      <c r="R154">
        <v>2024</v>
      </c>
      <c r="S154" t="s">
        <v>190</v>
      </c>
      <c r="T154" t="s">
        <v>713</v>
      </c>
      <c r="U154" s="8">
        <v>45434.707349537035</v>
      </c>
      <c r="V154" s="2" t="s">
        <v>965</v>
      </c>
      <c r="X154" t="s">
        <v>55</v>
      </c>
      <c r="Y154" t="s">
        <v>56</v>
      </c>
      <c r="Z154" t="s">
        <v>807</v>
      </c>
      <c r="AA154">
        <v>3133255914</v>
      </c>
      <c r="AB154" t="s">
        <v>459</v>
      </c>
      <c r="AC154">
        <v>2</v>
      </c>
      <c r="AJ154" s="9" t="str">
        <f t="shared" si="4"/>
        <v>Sin respuesta</v>
      </c>
      <c r="AK154" s="10" t="str">
        <f t="shared" si="5"/>
        <v>Sin respuesta</v>
      </c>
      <c r="AP154"/>
    </row>
    <row r="155" spans="2:43" ht="120" hidden="1">
      <c r="B155">
        <v>5</v>
      </c>
      <c r="C155">
        <v>860505407</v>
      </c>
      <c r="D155" t="s">
        <v>966</v>
      </c>
      <c r="E155" t="s">
        <v>966</v>
      </c>
      <c r="F155">
        <v>860505407</v>
      </c>
      <c r="G155" t="s">
        <v>966</v>
      </c>
      <c r="H155" t="s">
        <v>967</v>
      </c>
      <c r="I155" t="s">
        <v>104</v>
      </c>
      <c r="J155" t="s">
        <v>114</v>
      </c>
      <c r="K155" t="s">
        <v>48</v>
      </c>
      <c r="L155">
        <v>129</v>
      </c>
      <c r="M155">
        <v>122</v>
      </c>
      <c r="N155">
        <v>127</v>
      </c>
      <c r="O155" t="s">
        <v>436</v>
      </c>
      <c r="P155" t="s">
        <v>106</v>
      </c>
      <c r="Q155" t="s">
        <v>968</v>
      </c>
      <c r="R155">
        <v>2024</v>
      </c>
      <c r="S155" t="s">
        <v>124</v>
      </c>
      <c r="T155" t="s">
        <v>284</v>
      </c>
      <c r="U155" s="8">
        <v>45436.382384259261</v>
      </c>
      <c r="V155" s="2" t="s">
        <v>969</v>
      </c>
      <c r="X155" t="s">
        <v>55</v>
      </c>
      <c r="Y155" t="s">
        <v>56</v>
      </c>
      <c r="Z155" t="s">
        <v>807</v>
      </c>
      <c r="AA155">
        <v>7434204</v>
      </c>
      <c r="AB155" t="s">
        <v>970</v>
      </c>
      <c r="AC155">
        <v>7</v>
      </c>
      <c r="AD155" s="14" t="s">
        <v>589</v>
      </c>
      <c r="AE155" s="14" t="s">
        <v>971</v>
      </c>
      <c r="AF155" s="2" t="s">
        <v>972</v>
      </c>
      <c r="AG155" s="15" t="s">
        <v>592</v>
      </c>
      <c r="AH155" t="s">
        <v>55</v>
      </c>
      <c r="AI155" s="8">
        <v>45442</v>
      </c>
      <c r="AJ155" s="9" t="e">
        <f t="shared" si="4"/>
        <v>#VALUE!</v>
      </c>
      <c r="AK155" s="10" t="e">
        <f t="shared" si="5"/>
        <v>#VALUE!</v>
      </c>
      <c r="AL155" t="s">
        <v>594</v>
      </c>
      <c r="AM155" t="s">
        <v>607</v>
      </c>
      <c r="AN155" s="15" t="s">
        <v>608</v>
      </c>
      <c r="AP155">
        <v>0</v>
      </c>
      <c r="AQ155" s="15" t="s">
        <v>973</v>
      </c>
    </row>
    <row r="156" spans="2:43" ht="75" hidden="1">
      <c r="B156">
        <v>5</v>
      </c>
      <c r="C156">
        <v>800190729</v>
      </c>
      <c r="D156" t="s">
        <v>974</v>
      </c>
      <c r="E156" t="s">
        <v>974</v>
      </c>
      <c r="F156">
        <v>800190729</v>
      </c>
      <c r="G156" t="s">
        <v>974</v>
      </c>
      <c r="H156" t="s">
        <v>975</v>
      </c>
      <c r="I156" t="s">
        <v>813</v>
      </c>
      <c r="J156" t="s">
        <v>47</v>
      </c>
      <c r="K156" t="s">
        <v>48</v>
      </c>
      <c r="L156">
        <v>129</v>
      </c>
      <c r="M156">
        <v>129</v>
      </c>
      <c r="N156">
        <v>127</v>
      </c>
      <c r="O156" t="s">
        <v>48</v>
      </c>
      <c r="P156" t="s">
        <v>424</v>
      </c>
      <c r="Q156" t="s">
        <v>976</v>
      </c>
      <c r="R156">
        <v>2024</v>
      </c>
      <c r="S156" t="s">
        <v>190</v>
      </c>
      <c r="T156" t="s">
        <v>713</v>
      </c>
      <c r="U156" s="8">
        <v>45436.400972222225</v>
      </c>
      <c r="V156" s="2" t="s">
        <v>977</v>
      </c>
      <c r="X156" t="s">
        <v>55</v>
      </c>
      <c r="Y156" t="s">
        <v>56</v>
      </c>
      <c r="Z156" t="s">
        <v>807</v>
      </c>
      <c r="AA156">
        <v>7272311</v>
      </c>
      <c r="AB156" t="s">
        <v>978</v>
      </c>
      <c r="AC156">
        <v>2</v>
      </c>
      <c r="AF156" s="2"/>
      <c r="AJ156" s="11" t="str">
        <f t="shared" si="4"/>
        <v>Sin respuesta</v>
      </c>
      <c r="AK156" s="12" t="str">
        <f t="shared" si="5"/>
        <v>Sin respuesta</v>
      </c>
      <c r="AP156"/>
    </row>
    <row r="157" spans="2:43" ht="60" hidden="1">
      <c r="B157">
        <v>5</v>
      </c>
      <c r="C157">
        <v>901482950</v>
      </c>
      <c r="D157" t="s">
        <v>361</v>
      </c>
      <c r="E157" t="s">
        <v>362</v>
      </c>
      <c r="F157">
        <v>901482950</v>
      </c>
      <c r="G157" t="s">
        <v>362</v>
      </c>
      <c r="H157" t="s">
        <v>364</v>
      </c>
      <c r="I157" t="s">
        <v>365</v>
      </c>
      <c r="J157" t="s">
        <v>47</v>
      </c>
      <c r="K157" t="s">
        <v>48</v>
      </c>
      <c r="L157">
        <v>126</v>
      </c>
      <c r="M157">
        <v>101</v>
      </c>
      <c r="N157">
        <v>124</v>
      </c>
      <c r="O157" t="s">
        <v>62</v>
      </c>
      <c r="P157" t="s">
        <v>63</v>
      </c>
      <c r="Q157" t="s">
        <v>979</v>
      </c>
      <c r="R157">
        <v>2024</v>
      </c>
      <c r="S157" t="s">
        <v>65</v>
      </c>
      <c r="T157" t="s">
        <v>66</v>
      </c>
      <c r="U157" s="8">
        <v>45439.694085648145</v>
      </c>
      <c r="V157" s="2" t="s">
        <v>980</v>
      </c>
      <c r="X157" t="s">
        <v>55</v>
      </c>
      <c r="Y157" t="s">
        <v>56</v>
      </c>
      <c r="Z157" t="s">
        <v>807</v>
      </c>
      <c r="AA157">
        <v>3506921483</v>
      </c>
      <c r="AB157" t="s">
        <v>369</v>
      </c>
      <c r="AC157">
        <v>6</v>
      </c>
      <c r="AD157" s="2" t="s">
        <v>70</v>
      </c>
      <c r="AF157" t="s">
        <v>327</v>
      </c>
      <c r="AJ157" s="9" t="str">
        <f t="shared" si="4"/>
        <v>Sin respuesta</v>
      </c>
      <c r="AK157" s="10" t="str">
        <f t="shared" si="5"/>
        <v>Sin respuesta</v>
      </c>
      <c r="AN157" s="13" t="s">
        <v>328</v>
      </c>
      <c r="AP157"/>
    </row>
    <row r="158" spans="2:43" ht="45" hidden="1">
      <c r="B158">
        <v>5</v>
      </c>
      <c r="C158">
        <v>1018437700</v>
      </c>
      <c r="D158" t="s">
        <v>981</v>
      </c>
      <c r="E158" t="s">
        <v>982</v>
      </c>
      <c r="F158">
        <v>1018437700</v>
      </c>
      <c r="G158" t="s">
        <v>982</v>
      </c>
      <c r="H158" t="s">
        <v>983</v>
      </c>
      <c r="I158" t="s">
        <v>984</v>
      </c>
      <c r="J158" t="s">
        <v>47</v>
      </c>
      <c r="K158" t="s">
        <v>48</v>
      </c>
      <c r="L158">
        <v>125</v>
      </c>
      <c r="M158">
        <v>124</v>
      </c>
      <c r="N158">
        <v>123</v>
      </c>
      <c r="O158" t="s">
        <v>48</v>
      </c>
      <c r="P158" t="s">
        <v>291</v>
      </c>
      <c r="Q158" t="s">
        <v>985</v>
      </c>
      <c r="R158">
        <v>2024</v>
      </c>
      <c r="S158" t="s">
        <v>65</v>
      </c>
      <c r="T158" t="s">
        <v>293</v>
      </c>
      <c r="U158" s="8">
        <v>45440.446053240739</v>
      </c>
      <c r="V158" s="2" t="s">
        <v>986</v>
      </c>
      <c r="X158" t="s">
        <v>55</v>
      </c>
      <c r="Y158" t="s">
        <v>56</v>
      </c>
      <c r="Z158" t="s">
        <v>807</v>
      </c>
      <c r="AA158">
        <v>3102646970</v>
      </c>
      <c r="AB158" t="s">
        <v>987</v>
      </c>
      <c r="AC158">
        <v>2</v>
      </c>
      <c r="AF158" s="2"/>
      <c r="AJ158" s="11" t="str">
        <f t="shared" si="4"/>
        <v>Sin respuesta</v>
      </c>
      <c r="AK158" s="12" t="str">
        <f t="shared" si="5"/>
        <v>Sin respuesta</v>
      </c>
      <c r="AP158"/>
    </row>
    <row r="159" spans="2:43" ht="60" hidden="1">
      <c r="B159">
        <v>5</v>
      </c>
      <c r="C159">
        <v>70077362</v>
      </c>
      <c r="D159" t="s">
        <v>988</v>
      </c>
      <c r="E159" t="s">
        <v>989</v>
      </c>
      <c r="F159">
        <v>70077362</v>
      </c>
      <c r="G159" t="s">
        <v>989</v>
      </c>
      <c r="H159" t="s">
        <v>990</v>
      </c>
      <c r="I159" t="s">
        <v>348</v>
      </c>
      <c r="J159" t="s">
        <v>47</v>
      </c>
      <c r="K159" t="s">
        <v>48</v>
      </c>
      <c r="L159">
        <v>125</v>
      </c>
      <c r="M159">
        <v>124</v>
      </c>
      <c r="N159">
        <v>123</v>
      </c>
      <c r="O159" t="s">
        <v>49</v>
      </c>
      <c r="P159" t="s">
        <v>349</v>
      </c>
      <c r="Q159" t="s">
        <v>991</v>
      </c>
      <c r="R159">
        <v>2024</v>
      </c>
      <c r="S159" t="s">
        <v>65</v>
      </c>
      <c r="T159" t="s">
        <v>125</v>
      </c>
      <c r="U159" s="8">
        <v>45440.527303240742</v>
      </c>
      <c r="V159" s="2" t="s">
        <v>992</v>
      </c>
      <c r="X159" t="s">
        <v>55</v>
      </c>
      <c r="Y159" t="s">
        <v>56</v>
      </c>
      <c r="Z159" t="s">
        <v>807</v>
      </c>
      <c r="AA159">
        <v>6721811</v>
      </c>
      <c r="AB159" t="s">
        <v>993</v>
      </c>
      <c r="AC159">
        <v>3</v>
      </c>
      <c r="AJ159" s="9" t="str">
        <f t="shared" si="4"/>
        <v>Sin respuesta</v>
      </c>
      <c r="AK159" s="10" t="str">
        <f t="shared" si="5"/>
        <v>Sin respuesta</v>
      </c>
      <c r="AP159"/>
    </row>
    <row r="160" spans="2:43" ht="45" hidden="1">
      <c r="B160">
        <v>5</v>
      </c>
      <c r="C160">
        <v>12975282</v>
      </c>
      <c r="D160" t="s">
        <v>994</v>
      </c>
      <c r="E160" t="s">
        <v>995</v>
      </c>
      <c r="F160">
        <v>12975282</v>
      </c>
      <c r="G160" t="s">
        <v>995</v>
      </c>
      <c r="H160" t="s">
        <v>996</v>
      </c>
      <c r="I160" t="s">
        <v>84</v>
      </c>
      <c r="J160" t="s">
        <v>47</v>
      </c>
      <c r="K160" t="s">
        <v>48</v>
      </c>
      <c r="L160">
        <v>124</v>
      </c>
      <c r="M160">
        <v>124</v>
      </c>
      <c r="N160">
        <v>122</v>
      </c>
      <c r="O160" t="s">
        <v>48</v>
      </c>
      <c r="P160" t="s">
        <v>85</v>
      </c>
      <c r="Q160" t="s">
        <v>997</v>
      </c>
      <c r="R160">
        <v>2024</v>
      </c>
      <c r="S160" t="s">
        <v>190</v>
      </c>
      <c r="T160" t="s">
        <v>713</v>
      </c>
      <c r="U160" s="8">
        <v>45441.412291666667</v>
      </c>
      <c r="V160" s="2" t="s">
        <v>998</v>
      </c>
      <c r="X160" t="s">
        <v>55</v>
      </c>
      <c r="Y160" t="s">
        <v>56</v>
      </c>
      <c r="Z160" t="s">
        <v>807</v>
      </c>
      <c r="AA160">
        <v>7203174</v>
      </c>
      <c r="AB160" t="s">
        <v>999</v>
      </c>
      <c r="AC160">
        <v>2</v>
      </c>
      <c r="AJ160" s="9" t="str">
        <f t="shared" si="4"/>
        <v>Sin respuesta</v>
      </c>
      <c r="AK160" s="10" t="str">
        <f t="shared" si="5"/>
        <v>Sin respuesta</v>
      </c>
      <c r="AP160"/>
    </row>
    <row r="161" spans="2:43" ht="45" hidden="1">
      <c r="B161">
        <v>5</v>
      </c>
      <c r="C161">
        <v>901452501</v>
      </c>
      <c r="D161" t="s">
        <v>1000</v>
      </c>
      <c r="E161" t="s">
        <v>1000</v>
      </c>
      <c r="F161">
        <v>901452501</v>
      </c>
      <c r="G161" t="s">
        <v>1000</v>
      </c>
      <c r="J161" t="s">
        <v>47</v>
      </c>
      <c r="K161" t="s">
        <v>48</v>
      </c>
      <c r="L161">
        <v>124</v>
      </c>
      <c r="M161">
        <v>124</v>
      </c>
      <c r="N161">
        <v>122</v>
      </c>
      <c r="O161" t="s">
        <v>48</v>
      </c>
      <c r="P161" t="s">
        <v>900</v>
      </c>
      <c r="Q161" t="s">
        <v>1001</v>
      </c>
      <c r="R161">
        <v>2024</v>
      </c>
      <c r="S161" t="s">
        <v>190</v>
      </c>
      <c r="T161" t="s">
        <v>713</v>
      </c>
      <c r="U161" s="8">
        <v>45441.452268518522</v>
      </c>
      <c r="V161" s="2" t="s">
        <v>1002</v>
      </c>
      <c r="X161" t="s">
        <v>55</v>
      </c>
      <c r="Y161" t="s">
        <v>368</v>
      </c>
      <c r="Z161" t="s">
        <v>807</v>
      </c>
      <c r="AA161">
        <v>3164823973</v>
      </c>
      <c r="AB161" t="s">
        <v>1003</v>
      </c>
      <c r="AC161">
        <v>2</v>
      </c>
      <c r="AJ161" s="9" t="str">
        <f t="shared" si="4"/>
        <v>Sin respuesta</v>
      </c>
      <c r="AK161" s="10" t="str">
        <f t="shared" si="5"/>
        <v>Sin respuesta</v>
      </c>
      <c r="AP161"/>
    </row>
    <row r="162" spans="2:43" ht="45" hidden="1">
      <c r="B162">
        <v>5</v>
      </c>
      <c r="C162">
        <v>901452501</v>
      </c>
      <c r="D162" t="s">
        <v>1000</v>
      </c>
      <c r="E162" t="s">
        <v>1000</v>
      </c>
      <c r="F162">
        <v>901452501</v>
      </c>
      <c r="G162" t="s">
        <v>1000</v>
      </c>
      <c r="J162" t="s">
        <v>47</v>
      </c>
      <c r="K162" t="s">
        <v>48</v>
      </c>
      <c r="L162">
        <v>124</v>
      </c>
      <c r="M162">
        <v>95</v>
      </c>
      <c r="N162">
        <v>122</v>
      </c>
      <c r="O162" t="s">
        <v>105</v>
      </c>
      <c r="P162" t="s">
        <v>900</v>
      </c>
      <c r="Q162" t="s">
        <v>1004</v>
      </c>
      <c r="R162">
        <v>2024</v>
      </c>
      <c r="S162" t="s">
        <v>65</v>
      </c>
      <c r="T162" t="s">
        <v>66</v>
      </c>
      <c r="U162" s="8">
        <v>45441.460856481484</v>
      </c>
      <c r="V162" s="2" t="s">
        <v>1005</v>
      </c>
      <c r="X162" t="s">
        <v>55</v>
      </c>
      <c r="Y162" t="s">
        <v>56</v>
      </c>
      <c r="Z162" t="s">
        <v>807</v>
      </c>
      <c r="AA162">
        <v>3164823973</v>
      </c>
      <c r="AB162" t="s">
        <v>1003</v>
      </c>
      <c r="AC162">
        <v>8</v>
      </c>
      <c r="AJ162" s="9" t="str">
        <f t="shared" si="4"/>
        <v>Sin respuesta</v>
      </c>
      <c r="AK162" s="10" t="str">
        <f t="shared" si="5"/>
        <v>Sin respuesta</v>
      </c>
      <c r="AP162"/>
    </row>
    <row r="163" spans="2:43" ht="45" hidden="1">
      <c r="B163">
        <v>5</v>
      </c>
      <c r="C163">
        <v>890926280</v>
      </c>
      <c r="D163" t="s">
        <v>1006</v>
      </c>
      <c r="E163" t="s">
        <v>1007</v>
      </c>
      <c r="F163">
        <v>890926280</v>
      </c>
      <c r="G163" t="s">
        <v>1007</v>
      </c>
      <c r="H163" t="s">
        <v>1008</v>
      </c>
      <c r="I163" t="s">
        <v>211</v>
      </c>
      <c r="J163" t="s">
        <v>47</v>
      </c>
      <c r="K163" t="s">
        <v>48</v>
      </c>
      <c r="L163">
        <v>123</v>
      </c>
      <c r="M163">
        <v>123</v>
      </c>
      <c r="N163">
        <v>121</v>
      </c>
      <c r="O163" t="s">
        <v>48</v>
      </c>
      <c r="P163" t="s">
        <v>63</v>
      </c>
      <c r="Q163" t="s">
        <v>1009</v>
      </c>
      <c r="R163">
        <v>2024</v>
      </c>
      <c r="S163" t="s">
        <v>65</v>
      </c>
      <c r="T163" t="s">
        <v>334</v>
      </c>
      <c r="U163" s="8">
        <v>45442.467997685184</v>
      </c>
      <c r="V163" s="2" t="s">
        <v>1010</v>
      </c>
      <c r="X163" t="s">
        <v>55</v>
      </c>
      <c r="Y163" t="s">
        <v>56</v>
      </c>
      <c r="Z163" t="s">
        <v>807</v>
      </c>
      <c r="AA163">
        <v>3220205</v>
      </c>
      <c r="AB163" t="s">
        <v>1011</v>
      </c>
      <c r="AC163">
        <v>2</v>
      </c>
      <c r="AF163" s="2"/>
      <c r="AJ163" s="11" t="str">
        <f t="shared" si="4"/>
        <v>Sin respuesta</v>
      </c>
      <c r="AK163" s="12" t="str">
        <f t="shared" si="5"/>
        <v>Sin respuesta</v>
      </c>
      <c r="AP163"/>
    </row>
    <row r="164" spans="2:43" ht="60" hidden="1">
      <c r="B164">
        <v>5</v>
      </c>
      <c r="C164">
        <v>901141686</v>
      </c>
      <c r="D164" t="s">
        <v>709</v>
      </c>
      <c r="E164" t="s">
        <v>709</v>
      </c>
      <c r="F164">
        <v>901141686</v>
      </c>
      <c r="G164" t="s">
        <v>709</v>
      </c>
      <c r="H164" t="s">
        <v>710</v>
      </c>
      <c r="I164" t="s">
        <v>711</v>
      </c>
      <c r="J164" t="s">
        <v>47</v>
      </c>
      <c r="K164" t="s">
        <v>48</v>
      </c>
      <c r="L164">
        <v>123</v>
      </c>
      <c r="M164">
        <v>123</v>
      </c>
      <c r="N164">
        <v>121</v>
      </c>
      <c r="O164" t="s">
        <v>48</v>
      </c>
      <c r="P164" t="s">
        <v>63</v>
      </c>
      <c r="Q164" t="s">
        <v>1012</v>
      </c>
      <c r="R164">
        <v>2024</v>
      </c>
      <c r="S164" t="s">
        <v>190</v>
      </c>
      <c r="T164" t="s">
        <v>713</v>
      </c>
      <c r="U164" s="8">
        <v>45442.691608796296</v>
      </c>
      <c r="V164" s="2" t="s">
        <v>1013</v>
      </c>
      <c r="X164" t="s">
        <v>55</v>
      </c>
      <c r="Y164" t="s">
        <v>56</v>
      </c>
      <c r="Z164" t="s">
        <v>807</v>
      </c>
      <c r="AA164">
        <v>8275177</v>
      </c>
      <c r="AB164" t="s">
        <v>715</v>
      </c>
      <c r="AC164">
        <v>2</v>
      </c>
      <c r="AJ164" s="9" t="str">
        <f t="shared" si="4"/>
        <v>Sin respuesta</v>
      </c>
      <c r="AK164" s="10" t="str">
        <f t="shared" si="5"/>
        <v>Sin respuesta</v>
      </c>
      <c r="AP164"/>
    </row>
    <row r="165" spans="2:43" ht="45" hidden="1">
      <c r="B165">
        <v>5</v>
      </c>
      <c r="C165">
        <v>1152204709</v>
      </c>
      <c r="D165" t="s">
        <v>1014</v>
      </c>
      <c r="E165" t="s">
        <v>1015</v>
      </c>
      <c r="F165">
        <v>1152204709</v>
      </c>
      <c r="G165" t="s">
        <v>1015</v>
      </c>
      <c r="H165" t="s">
        <v>1016</v>
      </c>
      <c r="I165" t="s">
        <v>211</v>
      </c>
      <c r="J165" t="s">
        <v>47</v>
      </c>
      <c r="K165" t="s">
        <v>48</v>
      </c>
      <c r="L165">
        <v>122</v>
      </c>
      <c r="M165">
        <v>122</v>
      </c>
      <c r="N165">
        <v>120</v>
      </c>
      <c r="O165" t="s">
        <v>48</v>
      </c>
      <c r="P165" t="s">
        <v>63</v>
      </c>
      <c r="Q165" t="s">
        <v>1017</v>
      </c>
      <c r="R165">
        <v>2024</v>
      </c>
      <c r="S165" t="s">
        <v>65</v>
      </c>
      <c r="T165" t="s">
        <v>334</v>
      </c>
      <c r="U165" s="8">
        <v>45443.5937037037</v>
      </c>
      <c r="V165" s="2" t="s">
        <v>1018</v>
      </c>
      <c r="X165" t="s">
        <v>55</v>
      </c>
      <c r="Y165" t="s">
        <v>56</v>
      </c>
      <c r="Z165" t="s">
        <v>807</v>
      </c>
      <c r="AA165">
        <v>5133617</v>
      </c>
      <c r="AB165" t="s">
        <v>1019</v>
      </c>
      <c r="AC165">
        <v>2</v>
      </c>
      <c r="AJ165" s="9" t="str">
        <f t="shared" si="4"/>
        <v>Sin respuesta</v>
      </c>
      <c r="AK165" s="10" t="str">
        <f t="shared" si="5"/>
        <v>Sin respuesta</v>
      </c>
      <c r="AP165"/>
    </row>
    <row r="166" spans="2:43" ht="60" hidden="1">
      <c r="B166">
        <v>6</v>
      </c>
      <c r="C166">
        <v>811029116</v>
      </c>
      <c r="D166" t="s">
        <v>1020</v>
      </c>
      <c r="E166" t="s">
        <v>1021</v>
      </c>
      <c r="F166">
        <v>811029116</v>
      </c>
      <c r="G166" t="s">
        <v>1021</v>
      </c>
      <c r="H166" t="s">
        <v>1022</v>
      </c>
      <c r="I166" t="s">
        <v>211</v>
      </c>
      <c r="J166" t="s">
        <v>47</v>
      </c>
      <c r="K166" t="s">
        <v>48</v>
      </c>
      <c r="L166">
        <v>115</v>
      </c>
      <c r="M166">
        <v>96</v>
      </c>
      <c r="N166">
        <v>113</v>
      </c>
      <c r="O166" t="s">
        <v>436</v>
      </c>
      <c r="P166" t="s">
        <v>63</v>
      </c>
      <c r="Q166" t="s">
        <v>1023</v>
      </c>
      <c r="R166">
        <v>2024</v>
      </c>
      <c r="S166" t="s">
        <v>65</v>
      </c>
      <c r="T166" t="s">
        <v>66</v>
      </c>
      <c r="U166" s="8">
        <v>45450.370347222219</v>
      </c>
      <c r="V166" s="2" t="s">
        <v>1024</v>
      </c>
      <c r="X166" t="s">
        <v>55</v>
      </c>
      <c r="Y166" t="s">
        <v>56</v>
      </c>
      <c r="Z166" t="s">
        <v>807</v>
      </c>
      <c r="AA166">
        <v>5216868</v>
      </c>
      <c r="AB166" t="s">
        <v>1025</v>
      </c>
      <c r="AC166">
        <v>7</v>
      </c>
      <c r="AD166" s="14" t="s">
        <v>589</v>
      </c>
      <c r="AE166" s="15" t="s">
        <v>1026</v>
      </c>
      <c r="AF166" t="s">
        <v>1027</v>
      </c>
      <c r="AG166" s="15" t="s">
        <v>592</v>
      </c>
      <c r="AH166" t="s">
        <v>55</v>
      </c>
      <c r="AI166" s="8">
        <v>45468</v>
      </c>
      <c r="AJ166" s="9" t="e">
        <f t="shared" si="4"/>
        <v>#VALUE!</v>
      </c>
      <c r="AK166" s="10" t="e">
        <f t="shared" si="5"/>
        <v>#VALUE!</v>
      </c>
      <c r="AL166" t="s">
        <v>594</v>
      </c>
      <c r="AM166" t="s">
        <v>607</v>
      </c>
      <c r="AN166" s="15" t="s">
        <v>949</v>
      </c>
      <c r="AP166">
        <v>936750</v>
      </c>
      <c r="AQ166" t="s">
        <v>598</v>
      </c>
    </row>
    <row r="167" spans="2:43" ht="60" hidden="1">
      <c r="B167">
        <v>6</v>
      </c>
      <c r="C167">
        <v>802024306</v>
      </c>
      <c r="D167" t="s">
        <v>1028</v>
      </c>
      <c r="E167" t="s">
        <v>1028</v>
      </c>
      <c r="F167">
        <v>802024306</v>
      </c>
      <c r="G167" t="s">
        <v>1028</v>
      </c>
      <c r="H167" t="s">
        <v>1029</v>
      </c>
      <c r="I167" t="s">
        <v>46</v>
      </c>
      <c r="J167" t="s">
        <v>47</v>
      </c>
      <c r="K167" t="s">
        <v>48</v>
      </c>
      <c r="L167">
        <v>115</v>
      </c>
      <c r="M167">
        <v>110</v>
      </c>
      <c r="N167">
        <v>113</v>
      </c>
      <c r="O167" t="s">
        <v>48</v>
      </c>
      <c r="P167" t="s">
        <v>50</v>
      </c>
      <c r="Q167" t="s">
        <v>1030</v>
      </c>
      <c r="R167">
        <v>2024</v>
      </c>
      <c r="S167" t="s">
        <v>65</v>
      </c>
      <c r="T167" t="s">
        <v>334</v>
      </c>
      <c r="U167" s="8">
        <v>45450.706631944442</v>
      </c>
      <c r="V167" s="2" t="s">
        <v>1031</v>
      </c>
      <c r="X167" t="s">
        <v>55</v>
      </c>
      <c r="Y167" t="s">
        <v>56</v>
      </c>
      <c r="Z167" t="s">
        <v>807</v>
      </c>
      <c r="AA167">
        <v>3828540</v>
      </c>
      <c r="AB167" t="s">
        <v>1032</v>
      </c>
      <c r="AC167">
        <v>2</v>
      </c>
      <c r="AJ167" s="11" t="str">
        <f t="shared" si="4"/>
        <v>Sin respuesta</v>
      </c>
      <c r="AK167" s="12" t="str">
        <f t="shared" si="5"/>
        <v>Sin respuesta</v>
      </c>
      <c r="AP167"/>
    </row>
    <row r="168" spans="2:43" ht="75" hidden="1">
      <c r="B168">
        <v>6</v>
      </c>
      <c r="C168">
        <v>900405270</v>
      </c>
      <c r="D168" t="s">
        <v>1033</v>
      </c>
      <c r="E168" t="s">
        <v>1033</v>
      </c>
      <c r="F168">
        <v>900405270</v>
      </c>
      <c r="G168" t="s">
        <v>1033</v>
      </c>
      <c r="H168" t="s">
        <v>1034</v>
      </c>
      <c r="I168" t="s">
        <v>46</v>
      </c>
      <c r="J168" t="s">
        <v>47</v>
      </c>
      <c r="K168" t="s">
        <v>48</v>
      </c>
      <c r="L168">
        <v>111</v>
      </c>
      <c r="M168">
        <v>110</v>
      </c>
      <c r="N168">
        <v>109</v>
      </c>
      <c r="O168" t="s">
        <v>48</v>
      </c>
      <c r="P168" t="s">
        <v>50</v>
      </c>
      <c r="Q168" t="s">
        <v>1035</v>
      </c>
      <c r="R168">
        <v>2024</v>
      </c>
      <c r="S168" t="s">
        <v>52</v>
      </c>
      <c r="T168" t="s">
        <v>1036</v>
      </c>
      <c r="U168" s="8">
        <v>45454.446689814817</v>
      </c>
      <c r="V168" s="2" t="s">
        <v>1037</v>
      </c>
      <c r="X168" t="s">
        <v>55</v>
      </c>
      <c r="Y168" t="s">
        <v>56</v>
      </c>
      <c r="Z168" t="s">
        <v>807</v>
      </c>
      <c r="AA168">
        <v>3469493</v>
      </c>
      <c r="AB168" t="s">
        <v>1038</v>
      </c>
      <c r="AC168">
        <v>2</v>
      </c>
      <c r="AJ168" s="9" t="str">
        <f t="shared" si="4"/>
        <v>Sin respuesta</v>
      </c>
      <c r="AK168" s="10" t="str">
        <f t="shared" si="5"/>
        <v>Sin respuesta</v>
      </c>
      <c r="AP168"/>
    </row>
    <row r="169" spans="2:43" ht="60" hidden="1">
      <c r="B169">
        <v>6</v>
      </c>
      <c r="C169">
        <v>900405270</v>
      </c>
      <c r="D169" t="s">
        <v>1033</v>
      </c>
      <c r="E169" t="s">
        <v>1033</v>
      </c>
      <c r="F169">
        <v>900405270</v>
      </c>
      <c r="G169" t="s">
        <v>1033</v>
      </c>
      <c r="H169" t="s">
        <v>1034</v>
      </c>
      <c r="I169" t="s">
        <v>46</v>
      </c>
      <c r="J169" t="s">
        <v>47</v>
      </c>
      <c r="K169" t="s">
        <v>48</v>
      </c>
      <c r="L169">
        <v>111</v>
      </c>
      <c r="M169">
        <v>105</v>
      </c>
      <c r="N169">
        <v>109</v>
      </c>
      <c r="O169" t="s">
        <v>48</v>
      </c>
      <c r="P169" t="s">
        <v>50</v>
      </c>
      <c r="Q169" t="s">
        <v>1039</v>
      </c>
      <c r="R169">
        <v>2024</v>
      </c>
      <c r="S169" t="s">
        <v>65</v>
      </c>
      <c r="T169" t="s">
        <v>293</v>
      </c>
      <c r="U169" s="8">
        <v>45454.452638888892</v>
      </c>
      <c r="V169" s="2" t="s">
        <v>1040</v>
      </c>
      <c r="X169" t="s">
        <v>55</v>
      </c>
      <c r="Y169" t="s">
        <v>56</v>
      </c>
      <c r="Z169" t="s">
        <v>807</v>
      </c>
      <c r="AA169">
        <v>3469493</v>
      </c>
      <c r="AB169" t="s">
        <v>1038</v>
      </c>
      <c r="AC169">
        <v>2</v>
      </c>
      <c r="AJ169" s="9" t="str">
        <f t="shared" si="4"/>
        <v>Sin respuesta</v>
      </c>
      <c r="AK169" s="10" t="str">
        <f t="shared" si="5"/>
        <v>Sin respuesta</v>
      </c>
      <c r="AP169"/>
    </row>
    <row r="170" spans="2:43" ht="60" hidden="1">
      <c r="B170">
        <v>6</v>
      </c>
      <c r="C170">
        <v>15459804</v>
      </c>
      <c r="D170" t="s">
        <v>1041</v>
      </c>
      <c r="E170" t="s">
        <v>1041</v>
      </c>
      <c r="F170">
        <v>15459804</v>
      </c>
      <c r="G170" t="s">
        <v>1041</v>
      </c>
      <c r="H170" t="s">
        <v>1042</v>
      </c>
      <c r="I170" t="s">
        <v>211</v>
      </c>
      <c r="J170" t="s">
        <v>47</v>
      </c>
      <c r="K170" t="s">
        <v>48</v>
      </c>
      <c r="L170">
        <v>111</v>
      </c>
      <c r="M170">
        <v>110</v>
      </c>
      <c r="N170">
        <v>109</v>
      </c>
      <c r="O170" t="s">
        <v>48</v>
      </c>
      <c r="P170" t="s">
        <v>63</v>
      </c>
      <c r="Q170" t="s">
        <v>1043</v>
      </c>
      <c r="R170">
        <v>2024</v>
      </c>
      <c r="S170" t="s">
        <v>65</v>
      </c>
      <c r="T170" t="s">
        <v>334</v>
      </c>
      <c r="U170" s="8">
        <v>45454.495034722226</v>
      </c>
      <c r="V170" s="2" t="s">
        <v>1044</v>
      </c>
      <c r="X170" t="s">
        <v>55</v>
      </c>
      <c r="Y170" t="s">
        <v>56</v>
      </c>
      <c r="Z170" t="s">
        <v>807</v>
      </c>
      <c r="AA170">
        <v>2311316</v>
      </c>
      <c r="AB170" t="s">
        <v>1045</v>
      </c>
      <c r="AC170">
        <v>2</v>
      </c>
      <c r="AJ170" s="9" t="str">
        <f t="shared" si="4"/>
        <v>Sin respuesta</v>
      </c>
      <c r="AK170" s="10" t="str">
        <f t="shared" si="5"/>
        <v>Sin respuesta</v>
      </c>
      <c r="AP170"/>
    </row>
    <row r="171" spans="2:43" ht="30" hidden="1">
      <c r="B171">
        <v>6</v>
      </c>
      <c r="C171">
        <v>3497299</v>
      </c>
      <c r="D171" t="s">
        <v>337</v>
      </c>
      <c r="E171" t="s">
        <v>338</v>
      </c>
      <c r="F171">
        <v>3497299</v>
      </c>
      <c r="G171" t="s">
        <v>338</v>
      </c>
      <c r="H171" t="s">
        <v>340</v>
      </c>
      <c r="I171" t="s">
        <v>264</v>
      </c>
      <c r="J171" t="s">
        <v>47</v>
      </c>
      <c r="K171" t="s">
        <v>48</v>
      </c>
      <c r="L171">
        <v>110</v>
      </c>
      <c r="M171">
        <v>110</v>
      </c>
      <c r="N171">
        <v>108</v>
      </c>
      <c r="O171" t="s">
        <v>49</v>
      </c>
      <c r="P171" t="s">
        <v>265</v>
      </c>
      <c r="Q171" t="s">
        <v>1046</v>
      </c>
      <c r="R171">
        <v>2024</v>
      </c>
      <c r="S171" t="s">
        <v>65</v>
      </c>
      <c r="T171" t="s">
        <v>125</v>
      </c>
      <c r="U171" s="8">
        <v>45455.391655092593</v>
      </c>
      <c r="V171" s="2" t="s">
        <v>1047</v>
      </c>
      <c r="X171" t="s">
        <v>55</v>
      </c>
      <c r="Y171" t="s">
        <v>56</v>
      </c>
      <c r="Z171" t="s">
        <v>807</v>
      </c>
      <c r="AA171">
        <v>7824466</v>
      </c>
      <c r="AB171" t="s">
        <v>343</v>
      </c>
      <c r="AC171">
        <v>3</v>
      </c>
      <c r="AJ171" s="9" t="str">
        <f t="shared" si="4"/>
        <v>Sin respuesta</v>
      </c>
      <c r="AK171" s="10" t="str">
        <f t="shared" si="5"/>
        <v>Sin respuesta</v>
      </c>
      <c r="AP171"/>
    </row>
    <row r="172" spans="2:43" ht="60" hidden="1">
      <c r="B172">
        <v>6</v>
      </c>
      <c r="C172">
        <v>13363715</v>
      </c>
      <c r="D172" t="s">
        <v>1048</v>
      </c>
      <c r="E172" t="s">
        <v>1049</v>
      </c>
      <c r="F172">
        <v>13363715</v>
      </c>
      <c r="G172" t="s">
        <v>1049</v>
      </c>
      <c r="J172" t="s">
        <v>47</v>
      </c>
      <c r="K172" t="s">
        <v>48</v>
      </c>
      <c r="L172">
        <v>110</v>
      </c>
      <c r="M172">
        <v>105</v>
      </c>
      <c r="N172">
        <v>108</v>
      </c>
      <c r="O172" t="s">
        <v>49</v>
      </c>
      <c r="P172" t="s">
        <v>900</v>
      </c>
      <c r="Q172" t="s">
        <v>1050</v>
      </c>
      <c r="R172">
        <v>2024</v>
      </c>
      <c r="S172" t="s">
        <v>65</v>
      </c>
      <c r="T172" t="s">
        <v>125</v>
      </c>
      <c r="U172" s="8">
        <v>45455.445879629631</v>
      </c>
      <c r="V172" s="2" t="s">
        <v>1051</v>
      </c>
      <c r="X172" t="s">
        <v>55</v>
      </c>
      <c r="Y172" t="s">
        <v>56</v>
      </c>
      <c r="Z172" t="s">
        <v>807</v>
      </c>
      <c r="AA172">
        <v>5611040</v>
      </c>
      <c r="AB172" t="s">
        <v>1052</v>
      </c>
      <c r="AC172">
        <v>3</v>
      </c>
      <c r="AJ172" s="9" t="str">
        <f t="shared" si="4"/>
        <v>Sin respuesta</v>
      </c>
      <c r="AK172" s="10" t="str">
        <f t="shared" si="5"/>
        <v>Sin respuesta</v>
      </c>
      <c r="AP172"/>
    </row>
    <row r="173" spans="2:43" ht="45" hidden="1">
      <c r="B173">
        <v>6</v>
      </c>
      <c r="C173">
        <v>900509168</v>
      </c>
      <c r="D173" t="s">
        <v>1053</v>
      </c>
      <c r="E173" t="s">
        <v>1053</v>
      </c>
      <c r="F173">
        <v>900509168</v>
      </c>
      <c r="G173" t="s">
        <v>1053</v>
      </c>
      <c r="H173" t="s">
        <v>1054</v>
      </c>
      <c r="I173" t="s">
        <v>1055</v>
      </c>
      <c r="J173" t="s">
        <v>47</v>
      </c>
      <c r="K173" t="s">
        <v>48</v>
      </c>
      <c r="L173">
        <v>109</v>
      </c>
      <c r="M173">
        <v>105</v>
      </c>
      <c r="N173">
        <v>107</v>
      </c>
      <c r="O173" t="s">
        <v>49</v>
      </c>
      <c r="P173" t="s">
        <v>63</v>
      </c>
      <c r="Q173" t="s">
        <v>1056</v>
      </c>
      <c r="R173">
        <v>2024</v>
      </c>
      <c r="S173" t="s">
        <v>65</v>
      </c>
      <c r="T173" t="s">
        <v>77</v>
      </c>
      <c r="U173" s="8">
        <v>45456.42559027778</v>
      </c>
      <c r="V173" s="2" t="s">
        <v>1057</v>
      </c>
      <c r="X173" t="s">
        <v>55</v>
      </c>
      <c r="Y173" t="s">
        <v>56</v>
      </c>
      <c r="Z173" t="s">
        <v>807</v>
      </c>
      <c r="AA173">
        <v>4060903</v>
      </c>
      <c r="AB173" t="s">
        <v>1058</v>
      </c>
      <c r="AC173">
        <v>3</v>
      </c>
      <c r="AJ173" s="9" t="str">
        <f t="shared" si="4"/>
        <v>Sin respuesta</v>
      </c>
      <c r="AK173" s="10" t="str">
        <f t="shared" si="5"/>
        <v>Sin respuesta</v>
      </c>
      <c r="AP173"/>
    </row>
    <row r="174" spans="2:43" ht="210" hidden="1">
      <c r="B174">
        <v>6</v>
      </c>
      <c r="C174">
        <v>900552728</v>
      </c>
      <c r="D174" t="s">
        <v>1059</v>
      </c>
      <c r="E174" t="s">
        <v>1060</v>
      </c>
      <c r="F174">
        <v>900552728</v>
      </c>
      <c r="G174">
        <v>900552728</v>
      </c>
      <c r="H174" t="s">
        <v>1061</v>
      </c>
      <c r="I174" t="s">
        <v>984</v>
      </c>
      <c r="J174" t="s">
        <v>47</v>
      </c>
      <c r="K174" t="s">
        <v>48</v>
      </c>
      <c r="L174">
        <v>109</v>
      </c>
      <c r="M174">
        <v>84</v>
      </c>
      <c r="N174">
        <v>107</v>
      </c>
      <c r="O174" t="s">
        <v>48</v>
      </c>
      <c r="P174" t="s">
        <v>291</v>
      </c>
      <c r="Q174" t="s">
        <v>1062</v>
      </c>
      <c r="R174">
        <v>2024</v>
      </c>
      <c r="S174" t="s">
        <v>65</v>
      </c>
      <c r="T174" t="s">
        <v>334</v>
      </c>
      <c r="U174" s="8">
        <v>45456.457708333335</v>
      </c>
      <c r="V174" s="2" t="s">
        <v>1063</v>
      </c>
      <c r="X174" t="s">
        <v>55</v>
      </c>
      <c r="Y174" t="s">
        <v>56</v>
      </c>
      <c r="Z174" t="s">
        <v>807</v>
      </c>
      <c r="AA174">
        <v>3146085486</v>
      </c>
      <c r="AB174" t="s">
        <v>1064</v>
      </c>
      <c r="AC174">
        <v>2</v>
      </c>
      <c r="AJ174" s="9" t="str">
        <f t="shared" si="4"/>
        <v>Sin respuesta</v>
      </c>
      <c r="AK174" s="10" t="str">
        <f t="shared" si="5"/>
        <v>Sin respuesta</v>
      </c>
      <c r="AP174"/>
    </row>
    <row r="175" spans="2:43" ht="45" hidden="1">
      <c r="B175">
        <v>6</v>
      </c>
      <c r="C175">
        <v>890800450</v>
      </c>
      <c r="D175" t="s">
        <v>224</v>
      </c>
      <c r="E175" t="s">
        <v>224</v>
      </c>
      <c r="F175">
        <v>890800450</v>
      </c>
      <c r="G175" t="s">
        <v>224</v>
      </c>
      <c r="H175" t="s">
        <v>226</v>
      </c>
      <c r="I175" t="s">
        <v>227</v>
      </c>
      <c r="J175" t="s">
        <v>47</v>
      </c>
      <c r="K175" t="s">
        <v>48</v>
      </c>
      <c r="L175">
        <v>104</v>
      </c>
      <c r="M175">
        <v>101</v>
      </c>
      <c r="N175">
        <v>102</v>
      </c>
      <c r="O175" t="s">
        <v>48</v>
      </c>
      <c r="P175" t="s">
        <v>228</v>
      </c>
      <c r="Q175" t="s">
        <v>1065</v>
      </c>
      <c r="R175">
        <v>2024</v>
      </c>
      <c r="S175" t="s">
        <v>65</v>
      </c>
      <c r="T175" t="s">
        <v>334</v>
      </c>
      <c r="U175" s="8">
        <v>45461.614641203705</v>
      </c>
      <c r="V175" s="2" t="s">
        <v>1066</v>
      </c>
      <c r="X175" t="s">
        <v>55</v>
      </c>
      <c r="Y175" t="s">
        <v>56</v>
      </c>
      <c r="Z175" t="s">
        <v>807</v>
      </c>
      <c r="AA175">
        <v>8930130</v>
      </c>
      <c r="AB175" t="s">
        <v>232</v>
      </c>
      <c r="AC175">
        <v>2</v>
      </c>
      <c r="AJ175" s="9" t="str">
        <f t="shared" si="4"/>
        <v>Sin respuesta</v>
      </c>
      <c r="AK175" s="10" t="str">
        <f t="shared" si="5"/>
        <v>Sin respuesta</v>
      </c>
      <c r="AP175"/>
    </row>
    <row r="176" spans="2:43" ht="45" hidden="1">
      <c r="B176">
        <v>6</v>
      </c>
      <c r="C176">
        <v>901111035</v>
      </c>
      <c r="D176" t="s">
        <v>1067</v>
      </c>
      <c r="E176" t="s">
        <v>1067</v>
      </c>
      <c r="F176">
        <v>901111035</v>
      </c>
      <c r="G176" t="s">
        <v>1067</v>
      </c>
      <c r="H176" t="s">
        <v>1068</v>
      </c>
      <c r="I176" t="s">
        <v>884</v>
      </c>
      <c r="J176" t="s">
        <v>47</v>
      </c>
      <c r="K176" t="s">
        <v>48</v>
      </c>
      <c r="L176">
        <v>104</v>
      </c>
      <c r="M176">
        <v>101</v>
      </c>
      <c r="N176">
        <v>102</v>
      </c>
      <c r="O176" t="s">
        <v>48</v>
      </c>
      <c r="P176" t="s">
        <v>131</v>
      </c>
      <c r="Q176" t="s">
        <v>1069</v>
      </c>
      <c r="R176">
        <v>2024</v>
      </c>
      <c r="S176" t="s">
        <v>52</v>
      </c>
      <c r="T176" t="s">
        <v>1036</v>
      </c>
      <c r="U176" s="8">
        <v>45461.630555555559</v>
      </c>
      <c r="V176" s="2" t="s">
        <v>1070</v>
      </c>
      <c r="X176" t="s">
        <v>55</v>
      </c>
      <c r="Y176" t="s">
        <v>56</v>
      </c>
      <c r="Z176" t="s">
        <v>807</v>
      </c>
      <c r="AA176">
        <v>8212297</v>
      </c>
      <c r="AB176" t="s">
        <v>1071</v>
      </c>
      <c r="AC176">
        <v>2</v>
      </c>
      <c r="AJ176" s="9" t="str">
        <f t="shared" si="4"/>
        <v>Sin respuesta</v>
      </c>
      <c r="AK176" s="10" t="str">
        <f t="shared" si="5"/>
        <v>Sin respuesta</v>
      </c>
      <c r="AP176"/>
    </row>
    <row r="177" spans="2:42" ht="45" hidden="1">
      <c r="B177">
        <v>6</v>
      </c>
      <c r="C177">
        <v>15459804</v>
      </c>
      <c r="D177" t="s">
        <v>1041</v>
      </c>
      <c r="E177" t="s">
        <v>1041</v>
      </c>
      <c r="F177">
        <v>15459804</v>
      </c>
      <c r="G177" t="s">
        <v>1041</v>
      </c>
      <c r="H177" t="s">
        <v>1042</v>
      </c>
      <c r="I177" t="s">
        <v>211</v>
      </c>
      <c r="J177" t="s">
        <v>47</v>
      </c>
      <c r="K177" t="s">
        <v>48</v>
      </c>
      <c r="L177">
        <v>103</v>
      </c>
      <c r="M177">
        <v>101</v>
      </c>
      <c r="N177">
        <v>101</v>
      </c>
      <c r="O177" t="s">
        <v>49</v>
      </c>
      <c r="P177" t="s">
        <v>63</v>
      </c>
      <c r="Q177" t="s">
        <v>1072</v>
      </c>
      <c r="R177">
        <v>2024</v>
      </c>
      <c r="S177" t="s">
        <v>65</v>
      </c>
      <c r="T177" t="s">
        <v>417</v>
      </c>
      <c r="U177" s="8">
        <v>45462.652546296296</v>
      </c>
      <c r="V177" s="2" t="s">
        <v>1073</v>
      </c>
      <c r="X177" t="s">
        <v>55</v>
      </c>
      <c r="Y177" t="s">
        <v>56</v>
      </c>
      <c r="Z177" t="s">
        <v>807</v>
      </c>
      <c r="AA177">
        <v>2311316</v>
      </c>
      <c r="AB177" t="s">
        <v>1045</v>
      </c>
      <c r="AC177">
        <v>3</v>
      </c>
      <c r="AJ177" s="9" t="str">
        <f t="shared" si="4"/>
        <v>Sin respuesta</v>
      </c>
      <c r="AK177" s="10" t="str">
        <f t="shared" si="5"/>
        <v>Sin respuesta</v>
      </c>
      <c r="AP177"/>
    </row>
    <row r="178" spans="2:42" ht="45" hidden="1">
      <c r="B178">
        <v>6</v>
      </c>
      <c r="C178">
        <v>43787505</v>
      </c>
      <c r="D178" t="s">
        <v>1074</v>
      </c>
      <c r="E178" t="s">
        <v>1075</v>
      </c>
      <c r="F178">
        <v>43787505</v>
      </c>
      <c r="G178" t="s">
        <v>1075</v>
      </c>
      <c r="H178" t="s">
        <v>1076</v>
      </c>
      <c r="I178" t="s">
        <v>1077</v>
      </c>
      <c r="J178" t="s">
        <v>47</v>
      </c>
      <c r="K178" t="s">
        <v>48</v>
      </c>
      <c r="L178">
        <v>101</v>
      </c>
      <c r="M178">
        <v>101</v>
      </c>
      <c r="N178">
        <v>99</v>
      </c>
      <c r="O178" t="s">
        <v>48</v>
      </c>
      <c r="P178" t="s">
        <v>63</v>
      </c>
      <c r="Q178" t="s">
        <v>1078</v>
      </c>
      <c r="R178">
        <v>2024</v>
      </c>
      <c r="S178" t="s">
        <v>190</v>
      </c>
      <c r="T178" t="s">
        <v>713</v>
      </c>
      <c r="U178" s="8">
        <v>45464.511724537035</v>
      </c>
      <c r="V178" s="2" t="s">
        <v>1079</v>
      </c>
      <c r="X178" t="s">
        <v>55</v>
      </c>
      <c r="Y178" t="s">
        <v>56</v>
      </c>
      <c r="Z178" t="s">
        <v>807</v>
      </c>
      <c r="AA178">
        <v>5515133</v>
      </c>
      <c r="AB178" t="s">
        <v>1080</v>
      </c>
      <c r="AC178">
        <v>2</v>
      </c>
      <c r="AJ178" s="9" t="str">
        <f t="shared" si="4"/>
        <v>Sin respuesta</v>
      </c>
      <c r="AK178" s="10" t="str">
        <f t="shared" si="5"/>
        <v>Sin respuesta</v>
      </c>
      <c r="AP178"/>
    </row>
    <row r="179" spans="2:42" ht="75" hidden="1">
      <c r="B179">
        <v>6</v>
      </c>
      <c r="C179">
        <v>72239768</v>
      </c>
      <c r="D179" t="s">
        <v>1081</v>
      </c>
      <c r="E179" t="s">
        <v>1082</v>
      </c>
      <c r="F179">
        <v>72239768</v>
      </c>
      <c r="G179" t="s">
        <v>1082</v>
      </c>
      <c r="H179" t="s">
        <v>1083</v>
      </c>
      <c r="I179" t="s">
        <v>1084</v>
      </c>
      <c r="J179" t="s">
        <v>47</v>
      </c>
      <c r="K179" t="s">
        <v>48</v>
      </c>
      <c r="L179">
        <v>97</v>
      </c>
      <c r="M179">
        <v>97</v>
      </c>
      <c r="N179">
        <v>95</v>
      </c>
      <c r="O179" t="s">
        <v>48</v>
      </c>
      <c r="P179" t="s">
        <v>50</v>
      </c>
      <c r="Q179" t="s">
        <v>1085</v>
      </c>
      <c r="R179">
        <v>2024</v>
      </c>
      <c r="S179" t="s">
        <v>65</v>
      </c>
      <c r="T179" t="s">
        <v>642</v>
      </c>
      <c r="U179" s="8">
        <v>45468.492824074077</v>
      </c>
      <c r="V179" s="2" t="s">
        <v>1086</v>
      </c>
      <c r="X179" t="s">
        <v>55</v>
      </c>
      <c r="Y179" t="s">
        <v>368</v>
      </c>
      <c r="Z179" t="s">
        <v>807</v>
      </c>
      <c r="AA179">
        <v>3014103727</v>
      </c>
      <c r="AB179" t="s">
        <v>1087</v>
      </c>
      <c r="AC179">
        <v>2</v>
      </c>
      <c r="AJ179" s="9" t="str">
        <f t="shared" si="4"/>
        <v>Sin respuesta</v>
      </c>
      <c r="AK179" s="10" t="str">
        <f t="shared" si="5"/>
        <v>Sin respuesta</v>
      </c>
      <c r="AP179"/>
    </row>
    <row r="180" spans="2:42" ht="60" hidden="1">
      <c r="B180">
        <v>6</v>
      </c>
      <c r="C180">
        <v>72239768</v>
      </c>
      <c r="D180" t="s">
        <v>1081</v>
      </c>
      <c r="E180" t="s">
        <v>1082</v>
      </c>
      <c r="F180">
        <v>72239768</v>
      </c>
      <c r="G180" t="s">
        <v>1082</v>
      </c>
      <c r="H180" t="s">
        <v>1083</v>
      </c>
      <c r="I180" t="s">
        <v>1084</v>
      </c>
      <c r="J180" t="s">
        <v>47</v>
      </c>
      <c r="K180" t="s">
        <v>48</v>
      </c>
      <c r="L180">
        <v>97</v>
      </c>
      <c r="M180">
        <v>94</v>
      </c>
      <c r="N180">
        <v>95</v>
      </c>
      <c r="O180" t="s">
        <v>49</v>
      </c>
      <c r="P180" t="s">
        <v>50</v>
      </c>
      <c r="Q180" t="s">
        <v>1088</v>
      </c>
      <c r="R180">
        <v>2024</v>
      </c>
      <c r="S180" t="s">
        <v>65</v>
      </c>
      <c r="T180" t="s">
        <v>642</v>
      </c>
      <c r="U180" s="8">
        <v>45468.506562499999</v>
      </c>
      <c r="V180" s="2" t="s">
        <v>1089</v>
      </c>
      <c r="X180" t="s">
        <v>55</v>
      </c>
      <c r="Y180" t="s">
        <v>56</v>
      </c>
      <c r="Z180" t="s">
        <v>807</v>
      </c>
      <c r="AA180">
        <v>3014103727</v>
      </c>
      <c r="AB180" t="s">
        <v>1087</v>
      </c>
      <c r="AC180">
        <v>3</v>
      </c>
      <c r="AJ180" s="9" t="str">
        <f t="shared" si="4"/>
        <v>Sin respuesta</v>
      </c>
      <c r="AK180" s="10" t="str">
        <f t="shared" si="5"/>
        <v>Sin respuesta</v>
      </c>
      <c r="AP180"/>
    </row>
    <row r="181" spans="2:42" ht="45" hidden="1">
      <c r="B181">
        <v>6</v>
      </c>
      <c r="C181">
        <v>15378042</v>
      </c>
      <c r="D181" t="s">
        <v>514</v>
      </c>
      <c r="E181" t="s">
        <v>515</v>
      </c>
      <c r="F181">
        <v>15378042</v>
      </c>
      <c r="G181" t="s">
        <v>515</v>
      </c>
      <c r="H181" t="s">
        <v>516</v>
      </c>
      <c r="I181" t="s">
        <v>517</v>
      </c>
      <c r="J181" t="s">
        <v>47</v>
      </c>
      <c r="K181" t="s">
        <v>48</v>
      </c>
      <c r="L181">
        <v>97</v>
      </c>
      <c r="M181">
        <v>97</v>
      </c>
      <c r="N181">
        <v>95</v>
      </c>
      <c r="O181" t="s">
        <v>48</v>
      </c>
      <c r="P181" t="s">
        <v>63</v>
      </c>
      <c r="Q181" t="s">
        <v>1090</v>
      </c>
      <c r="R181">
        <v>2024</v>
      </c>
      <c r="S181" t="s">
        <v>834</v>
      </c>
      <c r="T181" t="s">
        <v>835</v>
      </c>
      <c r="U181" s="8">
        <v>45468.532465277778</v>
      </c>
      <c r="V181" s="2" t="s">
        <v>1091</v>
      </c>
      <c r="X181" t="s">
        <v>55</v>
      </c>
      <c r="Y181" t="s">
        <v>56</v>
      </c>
      <c r="Z181" t="s">
        <v>807</v>
      </c>
      <c r="AA181">
        <v>5531705</v>
      </c>
      <c r="AB181" t="s">
        <v>520</v>
      </c>
      <c r="AC181">
        <v>2</v>
      </c>
      <c r="AJ181" s="9" t="str">
        <f t="shared" si="4"/>
        <v>Sin respuesta</v>
      </c>
      <c r="AK181" s="10" t="str">
        <f t="shared" si="5"/>
        <v>Sin respuesta</v>
      </c>
      <c r="AP181"/>
    </row>
    <row r="182" spans="2:42" ht="60" hidden="1">
      <c r="B182">
        <v>6</v>
      </c>
      <c r="C182">
        <v>98475267</v>
      </c>
      <c r="D182" t="s">
        <v>1092</v>
      </c>
      <c r="E182" t="s">
        <v>1093</v>
      </c>
      <c r="F182">
        <v>98475267</v>
      </c>
      <c r="G182" t="s">
        <v>1093</v>
      </c>
      <c r="H182" t="s">
        <v>1094</v>
      </c>
      <c r="I182" t="s">
        <v>892</v>
      </c>
      <c r="J182" t="s">
        <v>47</v>
      </c>
      <c r="K182" t="s">
        <v>48</v>
      </c>
      <c r="L182">
        <v>96</v>
      </c>
      <c r="M182">
        <v>94</v>
      </c>
      <c r="N182">
        <v>94</v>
      </c>
      <c r="O182" t="s">
        <v>49</v>
      </c>
      <c r="P182" t="s">
        <v>63</v>
      </c>
      <c r="Q182" t="s">
        <v>1095</v>
      </c>
      <c r="R182">
        <v>2024</v>
      </c>
      <c r="S182" t="s">
        <v>65</v>
      </c>
      <c r="T182" t="s">
        <v>125</v>
      </c>
      <c r="U182" s="8">
        <v>45469.507199074076</v>
      </c>
      <c r="V182" s="2" t="s">
        <v>1096</v>
      </c>
      <c r="X182" t="s">
        <v>55</v>
      </c>
      <c r="Y182" t="s">
        <v>56</v>
      </c>
      <c r="Z182" t="s">
        <v>807</v>
      </c>
      <c r="AA182">
        <v>8373410</v>
      </c>
      <c r="AB182" t="s">
        <v>1097</v>
      </c>
      <c r="AC182">
        <v>3</v>
      </c>
      <c r="AJ182" s="9" t="str">
        <f t="shared" si="4"/>
        <v>Sin respuesta</v>
      </c>
      <c r="AK182" s="10" t="str">
        <f t="shared" si="5"/>
        <v>Sin respuesta</v>
      </c>
      <c r="AP182"/>
    </row>
    <row r="183" spans="2:42" ht="90" hidden="1">
      <c r="B183">
        <v>6</v>
      </c>
      <c r="C183">
        <v>15459804</v>
      </c>
      <c r="D183" t="s">
        <v>1041</v>
      </c>
      <c r="E183" t="s">
        <v>1041</v>
      </c>
      <c r="F183">
        <v>15459804</v>
      </c>
      <c r="G183" t="s">
        <v>1041</v>
      </c>
      <c r="H183" t="s">
        <v>1042</v>
      </c>
      <c r="I183" t="s">
        <v>211</v>
      </c>
      <c r="J183" t="s">
        <v>47</v>
      </c>
      <c r="K183" t="s">
        <v>48</v>
      </c>
      <c r="L183">
        <v>96</v>
      </c>
      <c r="M183">
        <v>96</v>
      </c>
      <c r="N183">
        <v>94</v>
      </c>
      <c r="O183" t="s">
        <v>49</v>
      </c>
      <c r="P183" t="s">
        <v>63</v>
      </c>
      <c r="Q183" t="s">
        <v>1098</v>
      </c>
      <c r="R183">
        <v>2024</v>
      </c>
      <c r="S183" t="s">
        <v>124</v>
      </c>
      <c r="T183" t="s">
        <v>1099</v>
      </c>
      <c r="U183" s="8">
        <v>45469.527569444443</v>
      </c>
      <c r="V183" s="2" t="s">
        <v>1100</v>
      </c>
      <c r="X183" t="s">
        <v>55</v>
      </c>
      <c r="Y183" t="s">
        <v>56</v>
      </c>
      <c r="Z183" t="s">
        <v>807</v>
      </c>
      <c r="AA183">
        <v>2311316</v>
      </c>
      <c r="AB183" t="s">
        <v>1045</v>
      </c>
      <c r="AC183">
        <v>3</v>
      </c>
      <c r="AJ183" s="9" t="str">
        <f t="shared" si="4"/>
        <v>Sin respuesta</v>
      </c>
      <c r="AK183" s="10" t="str">
        <f t="shared" si="5"/>
        <v>Sin respuesta</v>
      </c>
      <c r="AP183"/>
    </row>
    <row r="184" spans="2:42" ht="45" hidden="1">
      <c r="B184">
        <v>6</v>
      </c>
      <c r="C184">
        <v>800252968</v>
      </c>
      <c r="D184" t="s">
        <v>1101</v>
      </c>
      <c r="E184" t="s">
        <v>1101</v>
      </c>
      <c r="F184">
        <v>800252968</v>
      </c>
      <c r="G184" t="s">
        <v>1101</v>
      </c>
      <c r="H184" t="s">
        <v>1102</v>
      </c>
      <c r="I184" t="s">
        <v>1103</v>
      </c>
      <c r="J184" t="s">
        <v>47</v>
      </c>
      <c r="K184" t="s">
        <v>48</v>
      </c>
      <c r="L184">
        <v>96</v>
      </c>
      <c r="M184">
        <v>94</v>
      </c>
      <c r="N184">
        <v>94</v>
      </c>
      <c r="O184" t="s">
        <v>48</v>
      </c>
      <c r="P184" t="s">
        <v>63</v>
      </c>
      <c r="Q184" t="s">
        <v>1104</v>
      </c>
      <c r="R184">
        <v>2024</v>
      </c>
      <c r="S184" t="s">
        <v>65</v>
      </c>
      <c r="T184" t="s">
        <v>293</v>
      </c>
      <c r="U184" s="8">
        <v>45469.604166666664</v>
      </c>
      <c r="V184" s="2" t="s">
        <v>1105</v>
      </c>
      <c r="X184" t="s">
        <v>55</v>
      </c>
      <c r="Y184" t="s">
        <v>56</v>
      </c>
      <c r="Z184" t="s">
        <v>807</v>
      </c>
      <c r="AA184">
        <v>8531164</v>
      </c>
      <c r="AB184" t="s">
        <v>1106</v>
      </c>
      <c r="AC184">
        <v>2</v>
      </c>
      <c r="AJ184" s="9" t="str">
        <f t="shared" si="4"/>
        <v>Sin respuesta</v>
      </c>
      <c r="AK184" s="10" t="str">
        <f t="shared" si="5"/>
        <v>Sin respuesta</v>
      </c>
      <c r="AP184"/>
    </row>
    <row r="185" spans="2:42" ht="45" hidden="1">
      <c r="B185">
        <v>6</v>
      </c>
      <c r="C185">
        <v>890912426</v>
      </c>
      <c r="D185" t="s">
        <v>1107</v>
      </c>
      <c r="E185" t="s">
        <v>1107</v>
      </c>
      <c r="F185">
        <v>890912426</v>
      </c>
      <c r="G185" t="s">
        <v>1107</v>
      </c>
      <c r="H185" t="s">
        <v>1108</v>
      </c>
      <c r="I185" t="s">
        <v>211</v>
      </c>
      <c r="J185" t="s">
        <v>47</v>
      </c>
      <c r="K185" t="s">
        <v>48</v>
      </c>
      <c r="L185">
        <v>95</v>
      </c>
      <c r="M185">
        <v>94</v>
      </c>
      <c r="N185">
        <v>93</v>
      </c>
      <c r="O185" t="s">
        <v>48</v>
      </c>
      <c r="P185" t="s">
        <v>63</v>
      </c>
      <c r="Q185" t="s">
        <v>1109</v>
      </c>
      <c r="R185">
        <v>2024</v>
      </c>
      <c r="S185" t="s">
        <v>65</v>
      </c>
      <c r="T185" t="s">
        <v>293</v>
      </c>
      <c r="U185" s="8">
        <v>45470.476157407407</v>
      </c>
      <c r="V185" s="2" t="s">
        <v>1110</v>
      </c>
      <c r="X185" t="s">
        <v>55</v>
      </c>
      <c r="Y185" t="s">
        <v>56</v>
      </c>
      <c r="Z185" t="s">
        <v>807</v>
      </c>
      <c r="AA185">
        <v>4444624</v>
      </c>
      <c r="AB185" t="s">
        <v>1111</v>
      </c>
      <c r="AC185">
        <v>2</v>
      </c>
      <c r="AJ185" s="9" t="str">
        <f t="shared" si="4"/>
        <v>Sin respuesta</v>
      </c>
      <c r="AK185" s="10" t="str">
        <f t="shared" si="5"/>
        <v>Sin respuesta</v>
      </c>
      <c r="AP185"/>
    </row>
    <row r="186" spans="2:42" ht="45" hidden="1">
      <c r="B186">
        <v>6</v>
      </c>
      <c r="C186">
        <v>890900044</v>
      </c>
      <c r="D186" t="s">
        <v>370</v>
      </c>
      <c r="E186" t="s">
        <v>371</v>
      </c>
      <c r="F186">
        <v>890900044</v>
      </c>
      <c r="G186" t="s">
        <v>371</v>
      </c>
      <c r="H186" t="s">
        <v>373</v>
      </c>
      <c r="I186" t="s">
        <v>211</v>
      </c>
      <c r="J186" t="s">
        <v>47</v>
      </c>
      <c r="K186" t="s">
        <v>48</v>
      </c>
      <c r="L186">
        <v>95</v>
      </c>
      <c r="M186">
        <v>76</v>
      </c>
      <c r="N186">
        <v>93</v>
      </c>
      <c r="O186" t="s">
        <v>436</v>
      </c>
      <c r="P186" t="s">
        <v>63</v>
      </c>
      <c r="Q186" t="s">
        <v>1112</v>
      </c>
      <c r="R186">
        <v>2024</v>
      </c>
      <c r="S186" t="s">
        <v>65</v>
      </c>
      <c r="T186" t="s">
        <v>1113</v>
      </c>
      <c r="U186" s="8">
        <v>45470.732557870368</v>
      </c>
      <c r="V186" s="2" t="s">
        <v>1114</v>
      </c>
      <c r="X186" t="s">
        <v>55</v>
      </c>
      <c r="Y186" t="s">
        <v>56</v>
      </c>
      <c r="Z186" t="s">
        <v>807</v>
      </c>
      <c r="AA186">
        <v>4489343</v>
      </c>
      <c r="AB186" t="s">
        <v>376</v>
      </c>
      <c r="AC186">
        <v>7</v>
      </c>
      <c r="AD186" s="14" t="s">
        <v>439</v>
      </c>
      <c r="AE186" s="15"/>
      <c r="AJ186" s="9" t="str">
        <f t="shared" si="4"/>
        <v>Sin respuesta</v>
      </c>
      <c r="AK186" s="10" t="str">
        <f t="shared" si="5"/>
        <v>Sin respuesta</v>
      </c>
      <c r="AN186" s="15" t="s">
        <v>758</v>
      </c>
      <c r="AP186"/>
    </row>
    <row r="187" spans="2:42" ht="45" hidden="1">
      <c r="B187">
        <v>6</v>
      </c>
      <c r="C187">
        <v>19592253</v>
      </c>
      <c r="D187" t="s">
        <v>1115</v>
      </c>
      <c r="E187" t="s">
        <v>1116</v>
      </c>
      <c r="F187">
        <v>19592253</v>
      </c>
      <c r="G187" t="s">
        <v>1116</v>
      </c>
      <c r="H187" t="s">
        <v>1117</v>
      </c>
      <c r="I187" t="s">
        <v>1118</v>
      </c>
      <c r="J187" t="s">
        <v>47</v>
      </c>
      <c r="K187" t="s">
        <v>48</v>
      </c>
      <c r="L187">
        <v>94</v>
      </c>
      <c r="M187">
        <v>84</v>
      </c>
      <c r="N187">
        <v>92</v>
      </c>
      <c r="O187" t="s">
        <v>48</v>
      </c>
      <c r="P187" t="s">
        <v>198</v>
      </c>
      <c r="Q187" t="s">
        <v>1119</v>
      </c>
      <c r="R187">
        <v>2024</v>
      </c>
      <c r="S187" t="s">
        <v>65</v>
      </c>
      <c r="T187" t="s">
        <v>293</v>
      </c>
      <c r="U187" s="8">
        <v>45471.690439814818</v>
      </c>
      <c r="V187" s="2" t="s">
        <v>1120</v>
      </c>
      <c r="X187" t="s">
        <v>55</v>
      </c>
      <c r="Y187" t="s">
        <v>56</v>
      </c>
      <c r="Z187" t="s">
        <v>807</v>
      </c>
      <c r="AA187">
        <v>3015199742</v>
      </c>
      <c r="AB187" t="s">
        <v>1121</v>
      </c>
      <c r="AC187">
        <v>2</v>
      </c>
      <c r="AJ187" s="11" t="str">
        <f t="shared" si="4"/>
        <v>Sin respuesta</v>
      </c>
      <c r="AK187" s="12" t="str">
        <f t="shared" si="5"/>
        <v>Sin respuesta</v>
      </c>
      <c r="AP187"/>
    </row>
    <row r="188" spans="2:42" ht="60" hidden="1">
      <c r="B188">
        <v>7</v>
      </c>
      <c r="C188">
        <v>13890896</v>
      </c>
      <c r="D188" t="s">
        <v>175</v>
      </c>
      <c r="E188" t="s">
        <v>176</v>
      </c>
      <c r="F188">
        <v>13890896</v>
      </c>
      <c r="G188" t="s">
        <v>176</v>
      </c>
      <c r="H188" t="s">
        <v>178</v>
      </c>
      <c r="I188" t="s">
        <v>179</v>
      </c>
      <c r="J188" t="s">
        <v>47</v>
      </c>
      <c r="K188" t="s">
        <v>48</v>
      </c>
      <c r="L188">
        <v>89</v>
      </c>
      <c r="M188">
        <v>69</v>
      </c>
      <c r="N188">
        <v>87</v>
      </c>
      <c r="O188" t="s">
        <v>49</v>
      </c>
      <c r="P188" t="s">
        <v>180</v>
      </c>
      <c r="Q188" t="s">
        <v>1122</v>
      </c>
      <c r="R188">
        <v>2024</v>
      </c>
      <c r="S188" t="s">
        <v>65</v>
      </c>
      <c r="T188" t="s">
        <v>125</v>
      </c>
      <c r="U188" s="8">
        <v>45476.408935185187</v>
      </c>
      <c r="V188" s="2" t="s">
        <v>1123</v>
      </c>
      <c r="X188" t="s">
        <v>55</v>
      </c>
      <c r="Y188" t="s">
        <v>56</v>
      </c>
      <c r="Z188" t="s">
        <v>807</v>
      </c>
      <c r="AA188">
        <v>6076214404</v>
      </c>
      <c r="AB188" t="s">
        <v>183</v>
      </c>
      <c r="AC188">
        <v>3</v>
      </c>
      <c r="AJ188" s="9" t="str">
        <f t="shared" si="4"/>
        <v>Sin respuesta</v>
      </c>
      <c r="AK188" s="10" t="str">
        <f t="shared" si="5"/>
        <v>Sin respuesta</v>
      </c>
      <c r="AP188"/>
    </row>
    <row r="189" spans="2:42" ht="75" hidden="1">
      <c r="B189">
        <v>7</v>
      </c>
      <c r="C189">
        <v>900525276</v>
      </c>
      <c r="D189" t="s">
        <v>1124</v>
      </c>
      <c r="E189" t="s">
        <v>1124</v>
      </c>
      <c r="F189">
        <v>900525276</v>
      </c>
      <c r="G189" t="s">
        <v>1124</v>
      </c>
      <c r="H189" t="s">
        <v>1125</v>
      </c>
      <c r="I189" t="s">
        <v>61</v>
      </c>
      <c r="J189" t="s">
        <v>47</v>
      </c>
      <c r="K189" t="s">
        <v>48</v>
      </c>
      <c r="L189">
        <v>89</v>
      </c>
      <c r="M189">
        <v>84</v>
      </c>
      <c r="N189">
        <v>87</v>
      </c>
      <c r="O189" t="s">
        <v>49</v>
      </c>
      <c r="P189" t="s">
        <v>63</v>
      </c>
      <c r="Q189" t="s">
        <v>1126</v>
      </c>
      <c r="R189">
        <v>2024</v>
      </c>
      <c r="S189" t="s">
        <v>65</v>
      </c>
      <c r="T189" t="s">
        <v>77</v>
      </c>
      <c r="U189" s="8">
        <v>45476.437118055554</v>
      </c>
      <c r="V189" s="2" t="s">
        <v>1127</v>
      </c>
      <c r="X189" t="s">
        <v>55</v>
      </c>
      <c r="Y189" t="s">
        <v>56</v>
      </c>
      <c r="Z189" t="s">
        <v>807</v>
      </c>
      <c r="AA189">
        <v>8394592</v>
      </c>
      <c r="AB189" t="s">
        <v>1128</v>
      </c>
      <c r="AC189">
        <v>3</v>
      </c>
      <c r="AJ189" s="9" t="str">
        <f t="shared" si="4"/>
        <v>Sin respuesta</v>
      </c>
      <c r="AK189" s="10" t="str">
        <f t="shared" si="5"/>
        <v>Sin respuesta</v>
      </c>
      <c r="AP189"/>
    </row>
    <row r="190" spans="2:42" ht="45" hidden="1">
      <c r="B190">
        <v>7</v>
      </c>
      <c r="C190">
        <v>901449615</v>
      </c>
      <c r="D190" t="s">
        <v>925</v>
      </c>
      <c r="E190" t="s">
        <v>925</v>
      </c>
      <c r="F190">
        <v>901449615</v>
      </c>
      <c r="G190" t="s">
        <v>925</v>
      </c>
      <c r="H190" t="s">
        <v>926</v>
      </c>
      <c r="I190" t="s">
        <v>927</v>
      </c>
      <c r="J190" t="s">
        <v>47</v>
      </c>
      <c r="K190" t="s">
        <v>48</v>
      </c>
      <c r="L190">
        <v>87</v>
      </c>
      <c r="M190">
        <v>84</v>
      </c>
      <c r="N190">
        <v>85</v>
      </c>
      <c r="O190" t="s">
        <v>49</v>
      </c>
      <c r="P190" t="s">
        <v>265</v>
      </c>
      <c r="Q190" t="s">
        <v>1129</v>
      </c>
      <c r="R190">
        <v>2024</v>
      </c>
      <c r="S190" t="s">
        <v>65</v>
      </c>
      <c r="T190" t="s">
        <v>125</v>
      </c>
      <c r="U190" s="8">
        <v>45478.353842592594</v>
      </c>
      <c r="V190" s="2" t="s">
        <v>1130</v>
      </c>
      <c r="X190" t="s">
        <v>55</v>
      </c>
      <c r="Y190" t="s">
        <v>56</v>
      </c>
      <c r="Z190" t="s">
        <v>807</v>
      </c>
      <c r="AA190">
        <v>7732179</v>
      </c>
      <c r="AB190" t="s">
        <v>930</v>
      </c>
      <c r="AC190">
        <v>3</v>
      </c>
      <c r="AJ190" s="9" t="str">
        <f t="shared" si="4"/>
        <v>Sin respuesta</v>
      </c>
      <c r="AK190" s="10" t="str">
        <f t="shared" si="5"/>
        <v>Sin respuesta</v>
      </c>
      <c r="AP190"/>
    </row>
    <row r="191" spans="2:42" ht="45" hidden="1">
      <c r="B191">
        <v>7</v>
      </c>
      <c r="C191">
        <v>891702257</v>
      </c>
      <c r="D191" t="s">
        <v>194</v>
      </c>
      <c r="E191" t="s">
        <v>194</v>
      </c>
      <c r="F191">
        <v>891702257</v>
      </c>
      <c r="G191" t="s">
        <v>194</v>
      </c>
      <c r="H191" t="s">
        <v>196</v>
      </c>
      <c r="I191" t="s">
        <v>197</v>
      </c>
      <c r="J191" t="s">
        <v>47</v>
      </c>
      <c r="K191" t="s">
        <v>48</v>
      </c>
      <c r="L191">
        <v>87</v>
      </c>
      <c r="M191">
        <v>81</v>
      </c>
      <c r="N191">
        <v>85</v>
      </c>
      <c r="O191" t="s">
        <v>48</v>
      </c>
      <c r="P191" t="s">
        <v>198</v>
      </c>
      <c r="Q191" t="s">
        <v>1131</v>
      </c>
      <c r="R191">
        <v>2024</v>
      </c>
      <c r="S191" t="s">
        <v>190</v>
      </c>
      <c r="T191" t="s">
        <v>713</v>
      </c>
      <c r="U191" s="8">
        <v>45478.365104166667</v>
      </c>
      <c r="V191" s="2" t="s">
        <v>1132</v>
      </c>
      <c r="X191" t="s">
        <v>55</v>
      </c>
      <c r="Y191" t="s">
        <v>56</v>
      </c>
      <c r="Z191" t="s">
        <v>807</v>
      </c>
      <c r="AA191">
        <v>4212252</v>
      </c>
      <c r="AB191" t="s">
        <v>201</v>
      </c>
      <c r="AC191">
        <v>2</v>
      </c>
      <c r="AJ191" s="9" t="str">
        <f t="shared" si="4"/>
        <v>Sin respuesta</v>
      </c>
      <c r="AK191" s="10" t="str">
        <f t="shared" si="5"/>
        <v>Sin respuesta</v>
      </c>
      <c r="AP191"/>
    </row>
    <row r="192" spans="2:42" ht="45" hidden="1">
      <c r="B192">
        <v>7</v>
      </c>
      <c r="C192">
        <v>900565617</v>
      </c>
      <c r="D192" t="s">
        <v>255</v>
      </c>
      <c r="E192" t="s">
        <v>255</v>
      </c>
      <c r="F192">
        <v>900565617</v>
      </c>
      <c r="G192" t="s">
        <v>255</v>
      </c>
      <c r="H192" t="s">
        <v>257</v>
      </c>
      <c r="I192" t="s">
        <v>46</v>
      </c>
      <c r="J192" t="s">
        <v>47</v>
      </c>
      <c r="K192" t="s">
        <v>48</v>
      </c>
      <c r="L192">
        <v>87</v>
      </c>
      <c r="M192">
        <v>87</v>
      </c>
      <c r="N192">
        <v>85</v>
      </c>
      <c r="O192" t="s">
        <v>48</v>
      </c>
      <c r="P192" t="s">
        <v>50</v>
      </c>
      <c r="Q192" t="s">
        <v>1133</v>
      </c>
      <c r="R192">
        <v>2024</v>
      </c>
      <c r="S192" t="s">
        <v>190</v>
      </c>
      <c r="T192" t="s">
        <v>713</v>
      </c>
      <c r="U192" s="8">
        <v>45478.484895833331</v>
      </c>
      <c r="V192" s="2" t="s">
        <v>1134</v>
      </c>
      <c r="X192" t="s">
        <v>55</v>
      </c>
      <c r="Y192" t="s">
        <v>368</v>
      </c>
      <c r="Z192" t="s">
        <v>807</v>
      </c>
      <c r="AA192">
        <v>3654726</v>
      </c>
      <c r="AB192" t="s">
        <v>260</v>
      </c>
      <c r="AC192">
        <v>2</v>
      </c>
      <c r="AJ192" s="9" t="str">
        <f t="shared" si="4"/>
        <v>Sin respuesta</v>
      </c>
      <c r="AK192" s="10" t="str">
        <f t="shared" si="5"/>
        <v>Sin respuesta</v>
      </c>
      <c r="AP192"/>
    </row>
    <row r="193" spans="2:43" ht="60" hidden="1">
      <c r="B193">
        <v>7</v>
      </c>
      <c r="C193">
        <v>17118789</v>
      </c>
      <c r="D193" t="s">
        <v>1135</v>
      </c>
      <c r="E193" t="s">
        <v>1135</v>
      </c>
      <c r="F193">
        <v>17118789</v>
      </c>
      <c r="G193" t="s">
        <v>1135</v>
      </c>
      <c r="H193" t="s">
        <v>1136</v>
      </c>
      <c r="I193" t="s">
        <v>423</v>
      </c>
      <c r="J193" t="s">
        <v>47</v>
      </c>
      <c r="K193" t="s">
        <v>48</v>
      </c>
      <c r="L193">
        <v>87</v>
      </c>
      <c r="M193">
        <v>84</v>
      </c>
      <c r="N193">
        <v>85</v>
      </c>
      <c r="O193" t="s">
        <v>48</v>
      </c>
      <c r="P193" t="s">
        <v>424</v>
      </c>
      <c r="Q193" t="s">
        <v>1137</v>
      </c>
      <c r="R193">
        <v>2024</v>
      </c>
      <c r="S193" t="s">
        <v>65</v>
      </c>
      <c r="T193" t="s">
        <v>293</v>
      </c>
      <c r="U193" s="8">
        <v>45478.682523148149</v>
      </c>
      <c r="V193" s="2" t="s">
        <v>1138</v>
      </c>
      <c r="X193" t="s">
        <v>55</v>
      </c>
      <c r="Y193" t="s">
        <v>56</v>
      </c>
      <c r="Z193" t="s">
        <v>807</v>
      </c>
      <c r="AA193">
        <v>7756029</v>
      </c>
      <c r="AB193" t="s">
        <v>1139</v>
      </c>
      <c r="AC193">
        <v>2</v>
      </c>
      <c r="AJ193" s="9" t="str">
        <f t="shared" si="4"/>
        <v>Sin respuesta</v>
      </c>
      <c r="AK193" s="10" t="str">
        <f t="shared" si="5"/>
        <v>Sin respuesta</v>
      </c>
      <c r="AP193"/>
    </row>
    <row r="194" spans="2:43" ht="45" hidden="1">
      <c r="B194">
        <v>7</v>
      </c>
      <c r="C194">
        <v>73545979</v>
      </c>
      <c r="D194" t="s">
        <v>1140</v>
      </c>
      <c r="E194" t="s">
        <v>1141</v>
      </c>
      <c r="F194">
        <v>73545979</v>
      </c>
      <c r="G194" t="s">
        <v>1141</v>
      </c>
      <c r="H194" t="s">
        <v>1142</v>
      </c>
      <c r="I194" t="s">
        <v>1143</v>
      </c>
      <c r="J194" t="s">
        <v>47</v>
      </c>
      <c r="K194" t="s">
        <v>48</v>
      </c>
      <c r="L194">
        <v>84</v>
      </c>
      <c r="M194">
        <v>83</v>
      </c>
      <c r="N194">
        <v>82</v>
      </c>
      <c r="O194" t="s">
        <v>49</v>
      </c>
      <c r="P194" t="s">
        <v>188</v>
      </c>
      <c r="Q194" t="s">
        <v>1144</v>
      </c>
      <c r="R194">
        <v>2024</v>
      </c>
      <c r="S194" t="s">
        <v>52</v>
      </c>
      <c r="T194" t="s">
        <v>351</v>
      </c>
      <c r="U194" s="8">
        <v>45481.494814814818</v>
      </c>
      <c r="V194" s="2" t="s">
        <v>1145</v>
      </c>
      <c r="X194" t="s">
        <v>55</v>
      </c>
      <c r="Y194" t="s">
        <v>56</v>
      </c>
      <c r="Z194" t="s">
        <v>807</v>
      </c>
      <c r="AA194">
        <v>3008296720</v>
      </c>
      <c r="AB194" t="s">
        <v>1146</v>
      </c>
      <c r="AC194">
        <v>3</v>
      </c>
      <c r="AJ194" s="9" t="str">
        <f t="shared" si="4"/>
        <v>Sin respuesta</v>
      </c>
      <c r="AK194" s="10" t="str">
        <f t="shared" si="5"/>
        <v>Sin respuesta</v>
      </c>
      <c r="AP194"/>
    </row>
    <row r="195" spans="2:43" ht="45" hidden="1">
      <c r="B195">
        <v>7</v>
      </c>
      <c r="C195">
        <v>901103498</v>
      </c>
      <c r="D195" t="s">
        <v>1147</v>
      </c>
      <c r="E195" t="s">
        <v>1147</v>
      </c>
      <c r="F195">
        <v>901103498</v>
      </c>
      <c r="G195" t="s">
        <v>1147</v>
      </c>
      <c r="H195" t="s">
        <v>1148</v>
      </c>
      <c r="I195" t="s">
        <v>1149</v>
      </c>
      <c r="J195" t="s">
        <v>47</v>
      </c>
      <c r="K195" t="s">
        <v>48</v>
      </c>
      <c r="L195">
        <v>84</v>
      </c>
      <c r="M195">
        <v>83</v>
      </c>
      <c r="N195">
        <v>82</v>
      </c>
      <c r="O195" t="s">
        <v>49</v>
      </c>
      <c r="P195" t="s">
        <v>265</v>
      </c>
      <c r="Q195" t="s">
        <v>1150</v>
      </c>
      <c r="R195">
        <v>2024</v>
      </c>
      <c r="S195" t="s">
        <v>65</v>
      </c>
      <c r="T195" t="s">
        <v>125</v>
      </c>
      <c r="U195" s="8">
        <v>45481.498831018522</v>
      </c>
      <c r="V195" s="2" t="s">
        <v>1151</v>
      </c>
      <c r="X195" t="s">
        <v>55</v>
      </c>
      <c r="Y195" t="s">
        <v>56</v>
      </c>
      <c r="Z195" t="s">
        <v>807</v>
      </c>
      <c r="AA195">
        <v>3126231546</v>
      </c>
      <c r="AB195" t="s">
        <v>1152</v>
      </c>
      <c r="AC195">
        <v>3</v>
      </c>
      <c r="AJ195" s="9" t="str">
        <f t="shared" ref="AJ195:AJ258" si="6">IF(AI195="","Sin respuesta",NETWORKDAYS.INTL(X195,AI195,1))</f>
        <v>Sin respuesta</v>
      </c>
      <c r="AK195" s="10" t="str">
        <f t="shared" ref="AK195:AK258" si="7">IF(AJ195="Sin respuesta","Sin respuesta",IF(AJ195&lt;10,"SÏ","No"))</f>
        <v>Sin respuesta</v>
      </c>
      <c r="AP195"/>
    </row>
    <row r="196" spans="2:43" ht="60" hidden="1">
      <c r="B196">
        <v>7</v>
      </c>
      <c r="C196">
        <v>891224259</v>
      </c>
      <c r="D196" t="s">
        <v>275</v>
      </c>
      <c r="E196" t="s">
        <v>275</v>
      </c>
      <c r="F196">
        <v>891224259</v>
      </c>
      <c r="G196" t="s">
        <v>275</v>
      </c>
      <c r="H196" t="s">
        <v>277</v>
      </c>
      <c r="I196" t="s">
        <v>84</v>
      </c>
      <c r="J196" t="s">
        <v>47</v>
      </c>
      <c r="K196" t="s">
        <v>48</v>
      </c>
      <c r="L196">
        <v>84</v>
      </c>
      <c r="M196">
        <v>83</v>
      </c>
      <c r="N196">
        <v>82</v>
      </c>
      <c r="O196" t="s">
        <v>49</v>
      </c>
      <c r="P196" t="s">
        <v>85</v>
      </c>
      <c r="Q196" t="s">
        <v>1153</v>
      </c>
      <c r="R196">
        <v>2024</v>
      </c>
      <c r="S196" t="s">
        <v>65</v>
      </c>
      <c r="T196" t="s">
        <v>125</v>
      </c>
      <c r="U196" s="8">
        <v>45481.505266203705</v>
      </c>
      <c r="V196" s="2" t="s">
        <v>1154</v>
      </c>
      <c r="X196" t="s">
        <v>55</v>
      </c>
      <c r="Y196" t="s">
        <v>56</v>
      </c>
      <c r="Z196" t="s">
        <v>807</v>
      </c>
      <c r="AA196">
        <v>7215558</v>
      </c>
      <c r="AB196" t="s">
        <v>280</v>
      </c>
      <c r="AC196">
        <v>3</v>
      </c>
      <c r="AJ196" s="9" t="str">
        <f t="shared" si="6"/>
        <v>Sin respuesta</v>
      </c>
      <c r="AK196" s="10" t="str">
        <f t="shared" si="7"/>
        <v>Sin respuesta</v>
      </c>
      <c r="AP196"/>
    </row>
    <row r="197" spans="2:43" ht="45" hidden="1">
      <c r="B197">
        <v>7</v>
      </c>
      <c r="C197">
        <v>901686943</v>
      </c>
      <c r="D197" t="s">
        <v>1155</v>
      </c>
      <c r="E197" t="s">
        <v>1155</v>
      </c>
      <c r="F197">
        <v>901686943</v>
      </c>
      <c r="G197" t="s">
        <v>1155</v>
      </c>
      <c r="H197" t="s">
        <v>1156</v>
      </c>
      <c r="I197" t="s">
        <v>871</v>
      </c>
      <c r="J197" t="s">
        <v>47</v>
      </c>
      <c r="K197" t="s">
        <v>48</v>
      </c>
      <c r="L197">
        <v>84</v>
      </c>
      <c r="M197">
        <v>83</v>
      </c>
      <c r="N197">
        <v>82</v>
      </c>
      <c r="O197" t="s">
        <v>48</v>
      </c>
      <c r="P197" t="s">
        <v>63</v>
      </c>
      <c r="Q197" t="s">
        <v>1157</v>
      </c>
      <c r="R197">
        <v>2024</v>
      </c>
      <c r="S197" t="s">
        <v>65</v>
      </c>
      <c r="T197" t="s">
        <v>293</v>
      </c>
      <c r="U197" s="8">
        <v>45481.509120370371</v>
      </c>
      <c r="V197" s="2" t="s">
        <v>1158</v>
      </c>
      <c r="X197" t="s">
        <v>55</v>
      </c>
      <c r="Y197" t="s">
        <v>56</v>
      </c>
      <c r="Z197" t="s">
        <v>807</v>
      </c>
      <c r="AA197">
        <v>3118308562</v>
      </c>
      <c r="AB197" t="s">
        <v>1159</v>
      </c>
      <c r="AC197">
        <v>2</v>
      </c>
      <c r="AJ197" s="9" t="str">
        <f t="shared" si="6"/>
        <v>Sin respuesta</v>
      </c>
      <c r="AK197" s="10" t="str">
        <f t="shared" si="7"/>
        <v>Sin respuesta</v>
      </c>
      <c r="AP197"/>
    </row>
    <row r="198" spans="2:43" ht="45" hidden="1">
      <c r="B198">
        <v>7</v>
      </c>
      <c r="C198">
        <v>39576394</v>
      </c>
      <c r="D198" t="s">
        <v>1160</v>
      </c>
      <c r="E198" t="s">
        <v>1161</v>
      </c>
      <c r="F198">
        <v>39576394</v>
      </c>
      <c r="G198" t="s">
        <v>1161</v>
      </c>
      <c r="H198" t="s">
        <v>1162</v>
      </c>
      <c r="I198" t="s">
        <v>984</v>
      </c>
      <c r="J198" t="s">
        <v>114</v>
      </c>
      <c r="K198" t="s">
        <v>48</v>
      </c>
      <c r="L198">
        <v>83</v>
      </c>
      <c r="M198">
        <v>81</v>
      </c>
      <c r="N198">
        <v>81</v>
      </c>
      <c r="O198" t="s">
        <v>49</v>
      </c>
      <c r="P198" t="s">
        <v>291</v>
      </c>
      <c r="Q198" t="s">
        <v>1163</v>
      </c>
      <c r="R198">
        <v>2024</v>
      </c>
      <c r="S198" t="s">
        <v>52</v>
      </c>
      <c r="T198" t="s">
        <v>116</v>
      </c>
      <c r="U198" s="8">
        <v>45482.459803240738</v>
      </c>
      <c r="V198" s="2" t="s">
        <v>1164</v>
      </c>
      <c r="X198" t="s">
        <v>55</v>
      </c>
      <c r="Y198" t="s">
        <v>56</v>
      </c>
      <c r="Z198" t="s">
        <v>807</v>
      </c>
      <c r="AA198">
        <v>8884740</v>
      </c>
      <c r="AB198" t="s">
        <v>1165</v>
      </c>
      <c r="AC198">
        <v>3</v>
      </c>
      <c r="AJ198" s="9" t="str">
        <f t="shared" si="6"/>
        <v>Sin respuesta</v>
      </c>
      <c r="AK198" s="10" t="str">
        <f t="shared" si="7"/>
        <v>Sin respuesta</v>
      </c>
      <c r="AP198"/>
    </row>
    <row r="199" spans="2:43" ht="45" hidden="1">
      <c r="B199">
        <v>7</v>
      </c>
      <c r="C199">
        <v>1085927861</v>
      </c>
      <c r="D199" t="s">
        <v>1166</v>
      </c>
      <c r="E199" t="s">
        <v>1167</v>
      </c>
      <c r="F199">
        <v>1085927861</v>
      </c>
      <c r="G199" t="s">
        <v>1167</v>
      </c>
      <c r="H199" t="s">
        <v>1168</v>
      </c>
      <c r="I199" t="s">
        <v>1169</v>
      </c>
      <c r="J199" t="s">
        <v>47</v>
      </c>
      <c r="K199" t="s">
        <v>48</v>
      </c>
      <c r="L199">
        <v>83</v>
      </c>
      <c r="M199">
        <v>61</v>
      </c>
      <c r="N199">
        <v>81</v>
      </c>
      <c r="O199" t="s">
        <v>62</v>
      </c>
      <c r="P199" t="s">
        <v>85</v>
      </c>
      <c r="Q199" t="s">
        <v>1170</v>
      </c>
      <c r="R199">
        <v>2024</v>
      </c>
      <c r="S199" t="s">
        <v>52</v>
      </c>
      <c r="T199" t="s">
        <v>440</v>
      </c>
      <c r="U199" s="8">
        <v>45482.472407407404</v>
      </c>
      <c r="V199" s="2" t="s">
        <v>1171</v>
      </c>
      <c r="X199" t="s">
        <v>55</v>
      </c>
      <c r="Y199" t="s">
        <v>56</v>
      </c>
      <c r="Z199" t="s">
        <v>807</v>
      </c>
      <c r="AA199">
        <v>3164857185</v>
      </c>
      <c r="AB199" t="s">
        <v>1172</v>
      </c>
      <c r="AC199">
        <v>6</v>
      </c>
      <c r="AD199" s="2" t="s">
        <v>70</v>
      </c>
      <c r="AF199" t="s">
        <v>724</v>
      </c>
      <c r="AJ199" s="9" t="str">
        <f t="shared" si="6"/>
        <v>Sin respuesta</v>
      </c>
      <c r="AK199" s="10" t="str">
        <f t="shared" si="7"/>
        <v>Sin respuesta</v>
      </c>
      <c r="AN199" s="13" t="s">
        <v>440</v>
      </c>
      <c r="AP199"/>
    </row>
    <row r="200" spans="2:43" ht="60" hidden="1">
      <c r="B200">
        <v>7</v>
      </c>
      <c r="C200">
        <v>1089718711</v>
      </c>
      <c r="D200" t="s">
        <v>1173</v>
      </c>
      <c r="E200" t="s">
        <v>1174</v>
      </c>
      <c r="F200">
        <v>1089718711</v>
      </c>
      <c r="G200" t="s">
        <v>1174</v>
      </c>
      <c r="H200" t="s">
        <v>1175</v>
      </c>
      <c r="I200" t="s">
        <v>884</v>
      </c>
      <c r="J200" t="s">
        <v>114</v>
      </c>
      <c r="K200" t="s">
        <v>48</v>
      </c>
      <c r="L200">
        <v>83</v>
      </c>
      <c r="M200">
        <v>82</v>
      </c>
      <c r="N200">
        <v>81</v>
      </c>
      <c r="O200" t="s">
        <v>48</v>
      </c>
      <c r="P200" t="s">
        <v>131</v>
      </c>
      <c r="Q200" t="s">
        <v>1176</v>
      </c>
      <c r="R200">
        <v>2024</v>
      </c>
      <c r="S200" t="s">
        <v>52</v>
      </c>
      <c r="T200" t="s">
        <v>661</v>
      </c>
      <c r="U200" s="8">
        <v>45482.622118055559</v>
      </c>
      <c r="V200" s="2" t="s">
        <v>1177</v>
      </c>
      <c r="X200" t="s">
        <v>55</v>
      </c>
      <c r="Y200" t="s">
        <v>56</v>
      </c>
      <c r="Z200" t="s">
        <v>807</v>
      </c>
      <c r="AA200">
        <v>8274749</v>
      </c>
      <c r="AB200" t="s">
        <v>1178</v>
      </c>
      <c r="AC200">
        <v>2</v>
      </c>
      <c r="AG200" t="s">
        <v>55</v>
      </c>
      <c r="AI200" s="8">
        <v>45506</v>
      </c>
      <c r="AJ200" s="11" t="e">
        <f t="shared" si="6"/>
        <v>#VALUE!</v>
      </c>
      <c r="AK200" s="23" t="e">
        <f t="shared" si="7"/>
        <v>#VALUE!</v>
      </c>
      <c r="AL200" t="s">
        <v>594</v>
      </c>
      <c r="AM200" t="s">
        <v>607</v>
      </c>
      <c r="AN200" t="s">
        <v>1179</v>
      </c>
      <c r="AP200"/>
    </row>
    <row r="201" spans="2:43" ht="30" hidden="1">
      <c r="B201">
        <v>7</v>
      </c>
      <c r="C201">
        <v>43831146</v>
      </c>
      <c r="D201" t="s">
        <v>1180</v>
      </c>
      <c r="E201" t="s">
        <v>1181</v>
      </c>
      <c r="F201">
        <v>43831146</v>
      </c>
      <c r="G201" t="s">
        <v>1181</v>
      </c>
      <c r="H201" t="s">
        <v>1182</v>
      </c>
      <c r="I201" t="s">
        <v>1183</v>
      </c>
      <c r="J201" t="s">
        <v>47</v>
      </c>
      <c r="K201" t="s">
        <v>48</v>
      </c>
      <c r="L201">
        <v>83</v>
      </c>
      <c r="M201">
        <v>82</v>
      </c>
      <c r="N201">
        <v>81</v>
      </c>
      <c r="O201" t="s">
        <v>48</v>
      </c>
      <c r="P201" t="s">
        <v>265</v>
      </c>
      <c r="Q201" t="s">
        <v>1184</v>
      </c>
      <c r="R201">
        <v>2024</v>
      </c>
      <c r="S201" t="s">
        <v>52</v>
      </c>
      <c r="T201" t="s">
        <v>1036</v>
      </c>
      <c r="U201" s="8">
        <v>45482.688171296293</v>
      </c>
      <c r="V201" s="2" t="s">
        <v>1185</v>
      </c>
      <c r="X201" t="s">
        <v>55</v>
      </c>
      <c r="Y201" t="s">
        <v>56</v>
      </c>
      <c r="Z201" t="s">
        <v>807</v>
      </c>
      <c r="AA201">
        <v>7721546</v>
      </c>
      <c r="AB201" t="s">
        <v>1186</v>
      </c>
      <c r="AC201">
        <v>2</v>
      </c>
      <c r="AJ201" s="9" t="str">
        <f t="shared" si="6"/>
        <v>Sin respuesta</v>
      </c>
      <c r="AK201" s="10" t="str">
        <f t="shared" si="7"/>
        <v>Sin respuesta</v>
      </c>
      <c r="AP201"/>
    </row>
    <row r="202" spans="2:43" ht="30" hidden="1">
      <c r="B202">
        <v>7</v>
      </c>
      <c r="C202">
        <v>900241604</v>
      </c>
      <c r="D202" t="s">
        <v>1187</v>
      </c>
      <c r="E202" t="s">
        <v>1187</v>
      </c>
      <c r="F202">
        <v>900241604</v>
      </c>
      <c r="G202" t="s">
        <v>1187</v>
      </c>
      <c r="H202" t="s">
        <v>1188</v>
      </c>
      <c r="I202" t="s">
        <v>365</v>
      </c>
      <c r="J202" t="s">
        <v>47</v>
      </c>
      <c r="K202" t="s">
        <v>48</v>
      </c>
      <c r="L202">
        <v>83</v>
      </c>
      <c r="M202">
        <v>63</v>
      </c>
      <c r="N202">
        <v>81</v>
      </c>
      <c r="O202" t="s">
        <v>436</v>
      </c>
      <c r="P202" t="s">
        <v>63</v>
      </c>
      <c r="Q202" t="s">
        <v>1189</v>
      </c>
      <c r="R202">
        <v>2024</v>
      </c>
      <c r="S202" t="s">
        <v>65</v>
      </c>
      <c r="T202" t="s">
        <v>66</v>
      </c>
      <c r="U202" s="8">
        <v>45482.733449074076</v>
      </c>
      <c r="V202" s="2" t="s">
        <v>1190</v>
      </c>
      <c r="X202" t="s">
        <v>55</v>
      </c>
      <c r="Y202" t="s">
        <v>56</v>
      </c>
      <c r="Z202" t="s">
        <v>807</v>
      </c>
      <c r="AA202">
        <v>6171111</v>
      </c>
      <c r="AB202" t="s">
        <v>1191</v>
      </c>
      <c r="AC202">
        <v>7</v>
      </c>
      <c r="AD202" s="14" t="s">
        <v>589</v>
      </c>
      <c r="AE202" t="s">
        <v>1192</v>
      </c>
      <c r="AF202" t="s">
        <v>1193</v>
      </c>
      <c r="AG202" s="15" t="s">
        <v>592</v>
      </c>
      <c r="AH202" t="s">
        <v>55</v>
      </c>
      <c r="AI202" s="8">
        <v>45497</v>
      </c>
      <c r="AJ202" s="9" t="e">
        <f t="shared" si="6"/>
        <v>#VALUE!</v>
      </c>
      <c r="AK202" s="10" t="e">
        <f t="shared" si="7"/>
        <v>#VALUE!</v>
      </c>
      <c r="AL202" t="s">
        <v>1194</v>
      </c>
      <c r="AM202" t="s">
        <v>607</v>
      </c>
      <c r="AN202" s="15" t="s">
        <v>949</v>
      </c>
      <c r="AP202">
        <v>182000</v>
      </c>
      <c r="AQ202" t="s">
        <v>598</v>
      </c>
    </row>
    <row r="203" spans="2:43" ht="45" hidden="1">
      <c r="B203">
        <v>7</v>
      </c>
      <c r="C203">
        <v>900565617</v>
      </c>
      <c r="D203" t="s">
        <v>255</v>
      </c>
      <c r="E203" t="s">
        <v>255</v>
      </c>
      <c r="F203">
        <v>900565617</v>
      </c>
      <c r="G203" t="s">
        <v>255</v>
      </c>
      <c r="H203" t="s">
        <v>257</v>
      </c>
      <c r="I203" t="s">
        <v>46</v>
      </c>
      <c r="J203" t="s">
        <v>47</v>
      </c>
      <c r="K203" t="s">
        <v>48</v>
      </c>
      <c r="L203">
        <v>82</v>
      </c>
      <c r="M203">
        <v>80</v>
      </c>
      <c r="N203">
        <v>80</v>
      </c>
      <c r="O203" t="s">
        <v>48</v>
      </c>
      <c r="P203" t="s">
        <v>50</v>
      </c>
      <c r="Q203" t="s">
        <v>1195</v>
      </c>
      <c r="R203">
        <v>2024</v>
      </c>
      <c r="S203" t="s">
        <v>190</v>
      </c>
      <c r="T203" t="s">
        <v>713</v>
      </c>
      <c r="U203" s="8">
        <v>45483.653749999998</v>
      </c>
      <c r="V203" s="2" t="s">
        <v>1196</v>
      </c>
      <c r="X203" t="s">
        <v>55</v>
      </c>
      <c r="Y203" t="s">
        <v>56</v>
      </c>
      <c r="Z203" t="s">
        <v>807</v>
      </c>
      <c r="AA203">
        <v>3654726</v>
      </c>
      <c r="AB203" t="s">
        <v>260</v>
      </c>
      <c r="AC203">
        <v>2</v>
      </c>
      <c r="AG203" t="s">
        <v>55</v>
      </c>
      <c r="AI203" s="8">
        <v>45498</v>
      </c>
      <c r="AJ203" s="11" t="e">
        <f t="shared" si="6"/>
        <v>#VALUE!</v>
      </c>
      <c r="AK203" s="23" t="e">
        <f t="shared" si="7"/>
        <v>#VALUE!</v>
      </c>
      <c r="AL203" t="s">
        <v>1194</v>
      </c>
      <c r="AM203" t="s">
        <v>607</v>
      </c>
      <c r="AN203" t="s">
        <v>1197</v>
      </c>
      <c r="AP203"/>
    </row>
    <row r="204" spans="2:43" ht="75" hidden="1">
      <c r="B204">
        <v>7</v>
      </c>
      <c r="C204">
        <v>70142980</v>
      </c>
      <c r="D204" t="s">
        <v>560</v>
      </c>
      <c r="E204" t="s">
        <v>561</v>
      </c>
      <c r="F204">
        <v>70142980</v>
      </c>
      <c r="G204" t="s">
        <v>561</v>
      </c>
      <c r="H204" t="s">
        <v>562</v>
      </c>
      <c r="I204" t="s">
        <v>61</v>
      </c>
      <c r="J204" t="s">
        <v>47</v>
      </c>
      <c r="K204" t="s">
        <v>48</v>
      </c>
      <c r="L204">
        <v>81</v>
      </c>
      <c r="M204">
        <v>81</v>
      </c>
      <c r="N204">
        <v>79</v>
      </c>
      <c r="O204" t="s">
        <v>48</v>
      </c>
      <c r="P204" t="s">
        <v>265</v>
      </c>
      <c r="Q204" t="s">
        <v>1198</v>
      </c>
      <c r="R204">
        <v>2024</v>
      </c>
      <c r="S204" t="s">
        <v>65</v>
      </c>
      <c r="T204" t="s">
        <v>293</v>
      </c>
      <c r="U204" s="8">
        <v>45484.652615740742</v>
      </c>
      <c r="V204" s="2" t="s">
        <v>1199</v>
      </c>
      <c r="X204" t="s">
        <v>55</v>
      </c>
      <c r="Y204" t="s">
        <v>56</v>
      </c>
      <c r="Z204" t="s">
        <v>807</v>
      </c>
      <c r="AA204">
        <v>8393030</v>
      </c>
      <c r="AB204" t="s">
        <v>565</v>
      </c>
      <c r="AC204">
        <v>2</v>
      </c>
      <c r="AJ204" s="9" t="str">
        <f t="shared" si="6"/>
        <v>Sin respuesta</v>
      </c>
      <c r="AK204" s="10" t="str">
        <f t="shared" si="7"/>
        <v>Sin respuesta</v>
      </c>
      <c r="AP204"/>
    </row>
    <row r="205" spans="2:43" ht="30" hidden="1">
      <c r="B205">
        <v>7</v>
      </c>
      <c r="C205">
        <v>27473148</v>
      </c>
      <c r="D205" t="s">
        <v>1200</v>
      </c>
      <c r="E205" t="s">
        <v>1201</v>
      </c>
      <c r="F205">
        <v>27473148</v>
      </c>
      <c r="G205">
        <v>27473148</v>
      </c>
      <c r="H205" t="s">
        <v>1202</v>
      </c>
      <c r="I205" t="s">
        <v>1203</v>
      </c>
      <c r="J205" t="s">
        <v>47</v>
      </c>
      <c r="K205" t="s">
        <v>48</v>
      </c>
      <c r="L205">
        <v>80</v>
      </c>
      <c r="M205">
        <v>80</v>
      </c>
      <c r="N205">
        <v>78</v>
      </c>
      <c r="O205" t="s">
        <v>48</v>
      </c>
      <c r="P205" t="s">
        <v>612</v>
      </c>
      <c r="Q205" t="s">
        <v>1204</v>
      </c>
      <c r="R205">
        <v>2024</v>
      </c>
      <c r="S205" t="s">
        <v>65</v>
      </c>
      <c r="T205" t="s">
        <v>293</v>
      </c>
      <c r="U205" s="8">
        <v>45485.62704861111</v>
      </c>
      <c r="V205" s="2" t="s">
        <v>1205</v>
      </c>
      <c r="X205" t="s">
        <v>55</v>
      </c>
      <c r="Y205" t="s">
        <v>56</v>
      </c>
      <c r="Z205" t="s">
        <v>807</v>
      </c>
      <c r="AA205">
        <v>3117147510</v>
      </c>
      <c r="AB205" t="s">
        <v>1206</v>
      </c>
      <c r="AC205">
        <v>2</v>
      </c>
      <c r="AJ205" s="9" t="str">
        <f t="shared" si="6"/>
        <v>Sin respuesta</v>
      </c>
      <c r="AK205" s="10" t="str">
        <f t="shared" si="7"/>
        <v>Sin respuesta</v>
      </c>
      <c r="AP205"/>
    </row>
    <row r="206" spans="2:43" ht="60" hidden="1">
      <c r="B206">
        <v>7</v>
      </c>
      <c r="C206">
        <v>15326670</v>
      </c>
      <c r="D206" t="s">
        <v>1207</v>
      </c>
      <c r="E206" t="s">
        <v>1208</v>
      </c>
      <c r="F206">
        <v>15326670</v>
      </c>
      <c r="G206" t="s">
        <v>1208</v>
      </c>
      <c r="H206" t="s">
        <v>1209</v>
      </c>
      <c r="I206" t="s">
        <v>927</v>
      </c>
      <c r="J206" t="s">
        <v>47</v>
      </c>
      <c r="K206" t="s">
        <v>48</v>
      </c>
      <c r="L206">
        <v>80</v>
      </c>
      <c r="M206">
        <v>69</v>
      </c>
      <c r="N206">
        <v>78</v>
      </c>
      <c r="O206" t="s">
        <v>49</v>
      </c>
      <c r="P206" t="s">
        <v>265</v>
      </c>
      <c r="Q206" t="s">
        <v>1210</v>
      </c>
      <c r="R206">
        <v>2024</v>
      </c>
      <c r="S206" t="s">
        <v>52</v>
      </c>
      <c r="T206" t="s">
        <v>53</v>
      </c>
      <c r="U206" s="8">
        <v>45485.697638888887</v>
      </c>
      <c r="V206" s="2" t="s">
        <v>1211</v>
      </c>
      <c r="X206" t="s">
        <v>55</v>
      </c>
      <c r="Y206" t="s">
        <v>56</v>
      </c>
      <c r="Z206" t="s">
        <v>807</v>
      </c>
      <c r="AA206">
        <v>7739468</v>
      </c>
      <c r="AB206" t="s">
        <v>1212</v>
      </c>
      <c r="AC206">
        <v>3</v>
      </c>
      <c r="AJ206" s="9" t="str">
        <f t="shared" si="6"/>
        <v>Sin respuesta</v>
      </c>
      <c r="AK206" s="10" t="str">
        <f t="shared" si="7"/>
        <v>Sin respuesta</v>
      </c>
      <c r="AP206"/>
    </row>
    <row r="207" spans="2:43" ht="60" hidden="1">
      <c r="B207">
        <v>7</v>
      </c>
      <c r="C207">
        <v>12961349</v>
      </c>
      <c r="D207" t="s">
        <v>309</v>
      </c>
      <c r="E207" t="s">
        <v>310</v>
      </c>
      <c r="F207">
        <v>12961349</v>
      </c>
      <c r="G207" t="s">
        <v>310</v>
      </c>
      <c r="H207" t="s">
        <v>311</v>
      </c>
      <c r="I207" t="s">
        <v>84</v>
      </c>
      <c r="J207" t="s">
        <v>47</v>
      </c>
      <c r="K207" t="s">
        <v>48</v>
      </c>
      <c r="L207">
        <v>74</v>
      </c>
      <c r="M207">
        <v>66</v>
      </c>
      <c r="N207">
        <v>72</v>
      </c>
      <c r="O207" t="s">
        <v>49</v>
      </c>
      <c r="P207" t="s">
        <v>85</v>
      </c>
      <c r="Q207" t="s">
        <v>1213</v>
      </c>
      <c r="R207">
        <v>2024</v>
      </c>
      <c r="S207" t="s">
        <v>52</v>
      </c>
      <c r="T207" t="s">
        <v>53</v>
      </c>
      <c r="U207" s="8">
        <v>45491.444004629629</v>
      </c>
      <c r="V207" s="2" t="s">
        <v>1214</v>
      </c>
      <c r="X207" t="s">
        <v>55</v>
      </c>
      <c r="Y207" t="s">
        <v>56</v>
      </c>
      <c r="Z207" t="s">
        <v>807</v>
      </c>
      <c r="AA207">
        <v>7200016</v>
      </c>
      <c r="AB207" t="s">
        <v>315</v>
      </c>
      <c r="AC207">
        <v>3</v>
      </c>
      <c r="AJ207" s="9" t="str">
        <f t="shared" si="6"/>
        <v>Sin respuesta</v>
      </c>
      <c r="AK207" s="10" t="str">
        <f t="shared" si="7"/>
        <v>Sin respuesta</v>
      </c>
      <c r="AP207"/>
    </row>
    <row r="208" spans="2:43" ht="60" hidden="1">
      <c r="B208">
        <v>7</v>
      </c>
      <c r="C208">
        <v>890800450</v>
      </c>
      <c r="D208" t="s">
        <v>224</v>
      </c>
      <c r="E208" t="s">
        <v>224</v>
      </c>
      <c r="F208">
        <v>890800450</v>
      </c>
      <c r="G208" t="s">
        <v>224</v>
      </c>
      <c r="H208" t="s">
        <v>226</v>
      </c>
      <c r="I208" t="s">
        <v>227</v>
      </c>
      <c r="J208" t="s">
        <v>47</v>
      </c>
      <c r="K208" t="s">
        <v>48</v>
      </c>
      <c r="L208">
        <v>73</v>
      </c>
      <c r="M208">
        <v>70</v>
      </c>
      <c r="N208">
        <v>71</v>
      </c>
      <c r="O208" t="s">
        <v>49</v>
      </c>
      <c r="P208" t="s">
        <v>228</v>
      </c>
      <c r="Q208" t="s">
        <v>1215</v>
      </c>
      <c r="R208">
        <v>2024</v>
      </c>
      <c r="S208" t="s">
        <v>52</v>
      </c>
      <c r="T208" t="s">
        <v>53</v>
      </c>
      <c r="U208" s="8">
        <v>45492.600844907407</v>
      </c>
      <c r="V208" s="2" t="s">
        <v>1216</v>
      </c>
      <c r="X208" t="s">
        <v>55</v>
      </c>
      <c r="Y208" t="s">
        <v>56</v>
      </c>
      <c r="Z208" t="s">
        <v>807</v>
      </c>
      <c r="AA208">
        <v>8930130</v>
      </c>
      <c r="AB208" t="s">
        <v>232</v>
      </c>
      <c r="AC208">
        <v>3</v>
      </c>
      <c r="AJ208" s="9" t="str">
        <f t="shared" si="6"/>
        <v>Sin respuesta</v>
      </c>
      <c r="AK208" s="10" t="str">
        <f t="shared" si="7"/>
        <v>Sin respuesta</v>
      </c>
      <c r="AP208"/>
    </row>
    <row r="209" spans="2:43" ht="45" hidden="1">
      <c r="B209">
        <v>7</v>
      </c>
      <c r="C209">
        <v>901255524</v>
      </c>
      <c r="D209" t="s">
        <v>1217</v>
      </c>
      <c r="E209" t="s">
        <v>1218</v>
      </c>
      <c r="F209">
        <v>901255524</v>
      </c>
      <c r="G209" t="s">
        <v>1218</v>
      </c>
      <c r="H209" t="s">
        <v>1219</v>
      </c>
      <c r="I209" t="s">
        <v>160</v>
      </c>
      <c r="J209" t="s">
        <v>47</v>
      </c>
      <c r="K209" t="s">
        <v>48</v>
      </c>
      <c r="L209">
        <v>73</v>
      </c>
      <c r="M209">
        <v>56</v>
      </c>
      <c r="N209">
        <v>71</v>
      </c>
      <c r="O209" t="s">
        <v>105</v>
      </c>
      <c r="P209" t="s">
        <v>63</v>
      </c>
      <c r="Q209" t="s">
        <v>1220</v>
      </c>
      <c r="R209">
        <v>2024</v>
      </c>
      <c r="S209" t="s">
        <v>65</v>
      </c>
      <c r="T209" t="s">
        <v>66</v>
      </c>
      <c r="U209" s="8">
        <v>45492.625949074078</v>
      </c>
      <c r="V209" s="2" t="s">
        <v>1221</v>
      </c>
      <c r="X209" t="s">
        <v>55</v>
      </c>
      <c r="Y209" t="s">
        <v>56</v>
      </c>
      <c r="Z209" t="s">
        <v>807</v>
      </c>
      <c r="AA209">
        <v>3610273</v>
      </c>
      <c r="AB209" t="s">
        <v>1222</v>
      </c>
      <c r="AC209">
        <v>8</v>
      </c>
      <c r="AJ209" s="9" t="str">
        <f t="shared" si="6"/>
        <v>Sin respuesta</v>
      </c>
      <c r="AK209" s="10" t="str">
        <f t="shared" si="7"/>
        <v>Sin respuesta</v>
      </c>
      <c r="AP209"/>
    </row>
    <row r="210" spans="2:43" ht="60" hidden="1">
      <c r="B210">
        <v>7</v>
      </c>
      <c r="C210">
        <v>901150853</v>
      </c>
      <c r="D210" t="s">
        <v>1223</v>
      </c>
      <c r="E210" t="s">
        <v>1223</v>
      </c>
      <c r="F210">
        <v>901150853</v>
      </c>
      <c r="G210" t="s">
        <v>1223</v>
      </c>
      <c r="H210" t="s">
        <v>1224</v>
      </c>
      <c r="I210" t="s">
        <v>84</v>
      </c>
      <c r="J210" t="s">
        <v>114</v>
      </c>
      <c r="K210" t="s">
        <v>48</v>
      </c>
      <c r="L210">
        <v>70</v>
      </c>
      <c r="M210">
        <v>68</v>
      </c>
      <c r="N210">
        <v>68</v>
      </c>
      <c r="O210" t="s">
        <v>48</v>
      </c>
      <c r="P210" t="s">
        <v>85</v>
      </c>
      <c r="Q210" t="s">
        <v>1225</v>
      </c>
      <c r="R210">
        <v>2024</v>
      </c>
      <c r="S210" t="s">
        <v>52</v>
      </c>
      <c r="T210" t="s">
        <v>661</v>
      </c>
      <c r="U210" s="8">
        <v>45495.499884259261</v>
      </c>
      <c r="V210" s="2" t="s">
        <v>1226</v>
      </c>
      <c r="X210" t="s">
        <v>55</v>
      </c>
      <c r="Y210" t="s">
        <v>56</v>
      </c>
      <c r="Z210" t="s">
        <v>807</v>
      </c>
      <c r="AA210">
        <v>3206886397</v>
      </c>
      <c r="AB210" t="s">
        <v>1227</v>
      </c>
      <c r="AC210">
        <v>2</v>
      </c>
      <c r="AG210" t="s">
        <v>55</v>
      </c>
      <c r="AI210" s="8">
        <v>45509</v>
      </c>
      <c r="AJ210" s="11" t="e">
        <f t="shared" si="6"/>
        <v>#VALUE!</v>
      </c>
      <c r="AK210" s="23" t="e">
        <f t="shared" si="7"/>
        <v>#VALUE!</v>
      </c>
      <c r="AL210" t="s">
        <v>1194</v>
      </c>
      <c r="AM210" t="s">
        <v>607</v>
      </c>
      <c r="AN210" t="s">
        <v>1228</v>
      </c>
      <c r="AP210"/>
    </row>
    <row r="211" spans="2:43" ht="45" hidden="1">
      <c r="B211">
        <v>7</v>
      </c>
      <c r="C211">
        <v>890937010</v>
      </c>
      <c r="D211" t="s">
        <v>208</v>
      </c>
      <c r="E211" t="s">
        <v>208</v>
      </c>
      <c r="F211">
        <v>890937010</v>
      </c>
      <c r="G211" t="s">
        <v>208</v>
      </c>
      <c r="H211" t="s">
        <v>210</v>
      </c>
      <c r="I211" t="s">
        <v>211</v>
      </c>
      <c r="J211" t="s">
        <v>47</v>
      </c>
      <c r="K211" t="s">
        <v>48</v>
      </c>
      <c r="L211">
        <v>69</v>
      </c>
      <c r="M211">
        <v>67</v>
      </c>
      <c r="N211">
        <v>67</v>
      </c>
      <c r="O211" t="s">
        <v>48</v>
      </c>
      <c r="P211" t="s">
        <v>63</v>
      </c>
      <c r="Q211" t="s">
        <v>1229</v>
      </c>
      <c r="R211">
        <v>2024</v>
      </c>
      <c r="S211" t="s">
        <v>65</v>
      </c>
      <c r="T211" t="s">
        <v>293</v>
      </c>
      <c r="U211" s="8">
        <v>45496.382361111115</v>
      </c>
      <c r="V211" s="2" t="s">
        <v>1230</v>
      </c>
      <c r="X211" t="s">
        <v>55</v>
      </c>
      <c r="Y211" t="s">
        <v>56</v>
      </c>
      <c r="Z211" t="s">
        <v>807</v>
      </c>
      <c r="AA211">
        <v>4442388</v>
      </c>
      <c r="AB211" t="s">
        <v>214</v>
      </c>
      <c r="AC211">
        <v>2</v>
      </c>
      <c r="AJ211" s="9" t="str">
        <f t="shared" si="6"/>
        <v>Sin respuesta</v>
      </c>
      <c r="AK211" s="10" t="str">
        <f t="shared" si="7"/>
        <v>Sin respuesta</v>
      </c>
      <c r="AP211"/>
    </row>
    <row r="212" spans="2:43" ht="45" hidden="1">
      <c r="B212">
        <v>7</v>
      </c>
      <c r="C212">
        <v>22132039</v>
      </c>
      <c r="D212" t="s">
        <v>1231</v>
      </c>
      <c r="E212" t="s">
        <v>1232</v>
      </c>
      <c r="F212" t="s">
        <v>1233</v>
      </c>
      <c r="G212" t="s">
        <v>1232</v>
      </c>
      <c r="H212" t="s">
        <v>1234</v>
      </c>
      <c r="I212" t="s">
        <v>884</v>
      </c>
      <c r="J212" t="s">
        <v>114</v>
      </c>
      <c r="K212" t="s">
        <v>48</v>
      </c>
      <c r="L212">
        <v>68</v>
      </c>
      <c r="M212">
        <v>56</v>
      </c>
      <c r="N212">
        <v>66</v>
      </c>
      <c r="O212" t="s">
        <v>48</v>
      </c>
      <c r="P212" t="s">
        <v>131</v>
      </c>
      <c r="Q212" t="s">
        <v>1235</v>
      </c>
      <c r="R212">
        <v>2024</v>
      </c>
      <c r="S212" t="s">
        <v>52</v>
      </c>
      <c r="T212" t="s">
        <v>661</v>
      </c>
      <c r="U212" s="8">
        <v>45497.329525462963</v>
      </c>
      <c r="V212" s="2" t="s">
        <v>1236</v>
      </c>
      <c r="X212" t="s">
        <v>55</v>
      </c>
      <c r="Y212" t="s">
        <v>56</v>
      </c>
      <c r="Z212" t="s">
        <v>807</v>
      </c>
      <c r="AA212">
        <v>3122320873</v>
      </c>
      <c r="AB212" t="s">
        <v>1237</v>
      </c>
      <c r="AC212">
        <v>2</v>
      </c>
      <c r="AJ212" s="9" t="str">
        <f t="shared" si="6"/>
        <v>Sin respuesta</v>
      </c>
      <c r="AK212" s="10" t="str">
        <f t="shared" si="7"/>
        <v>Sin respuesta</v>
      </c>
      <c r="AP212"/>
    </row>
    <row r="213" spans="2:43" ht="60" hidden="1">
      <c r="B213">
        <v>7</v>
      </c>
      <c r="C213">
        <v>890804199</v>
      </c>
      <c r="D213" t="s">
        <v>1238</v>
      </c>
      <c r="E213" t="s">
        <v>1239</v>
      </c>
      <c r="F213">
        <v>890804199</v>
      </c>
      <c r="G213" t="s">
        <v>1239</v>
      </c>
      <c r="H213" t="s">
        <v>1240</v>
      </c>
      <c r="I213" t="s">
        <v>1241</v>
      </c>
      <c r="J213" t="s">
        <v>47</v>
      </c>
      <c r="K213" t="s">
        <v>48</v>
      </c>
      <c r="L213">
        <v>68</v>
      </c>
      <c r="M213">
        <v>52</v>
      </c>
      <c r="N213">
        <v>66</v>
      </c>
      <c r="O213" t="s">
        <v>436</v>
      </c>
      <c r="P213" t="s">
        <v>291</v>
      </c>
      <c r="Q213" t="s">
        <v>1242</v>
      </c>
      <c r="R213">
        <v>2024</v>
      </c>
      <c r="S213" t="s">
        <v>65</v>
      </c>
      <c r="T213" t="s">
        <v>66</v>
      </c>
      <c r="U213" s="8">
        <v>45497.34412037037</v>
      </c>
      <c r="V213" s="2" t="s">
        <v>1243</v>
      </c>
      <c r="X213" t="s">
        <v>55</v>
      </c>
      <c r="Y213" t="s">
        <v>56</v>
      </c>
      <c r="Z213" t="s">
        <v>807</v>
      </c>
      <c r="AA213">
        <v>7198899</v>
      </c>
      <c r="AB213" t="s">
        <v>1244</v>
      </c>
      <c r="AC213">
        <v>7</v>
      </c>
      <c r="AD213" s="14" t="s">
        <v>439</v>
      </c>
      <c r="AE213" s="15"/>
      <c r="AJ213" s="9" t="str">
        <f t="shared" si="6"/>
        <v>Sin respuesta</v>
      </c>
      <c r="AK213" s="10" t="str">
        <f t="shared" si="7"/>
        <v>Sin respuesta</v>
      </c>
      <c r="AN213" s="13" t="s">
        <v>1245</v>
      </c>
      <c r="AP213"/>
    </row>
    <row r="214" spans="2:43" ht="60" hidden="1">
      <c r="B214">
        <v>7</v>
      </c>
      <c r="C214">
        <v>890919436</v>
      </c>
      <c r="D214" t="s">
        <v>1246</v>
      </c>
      <c r="E214" t="s">
        <v>1247</v>
      </c>
      <c r="F214">
        <v>890919436</v>
      </c>
      <c r="G214" t="s">
        <v>1247</v>
      </c>
      <c r="H214" t="s">
        <v>1248</v>
      </c>
      <c r="I214" t="s">
        <v>211</v>
      </c>
      <c r="J214" t="s">
        <v>47</v>
      </c>
      <c r="K214" t="s">
        <v>48</v>
      </c>
      <c r="L214">
        <v>68</v>
      </c>
      <c r="M214">
        <v>61</v>
      </c>
      <c r="N214">
        <v>66</v>
      </c>
      <c r="O214" t="s">
        <v>48</v>
      </c>
      <c r="P214" t="s">
        <v>63</v>
      </c>
      <c r="Q214" t="s">
        <v>1249</v>
      </c>
      <c r="R214">
        <v>2024</v>
      </c>
      <c r="S214" t="s">
        <v>52</v>
      </c>
      <c r="T214" t="s">
        <v>1036</v>
      </c>
      <c r="U214" s="8">
        <v>45497.6952662037</v>
      </c>
      <c r="V214" s="2" t="s">
        <v>1250</v>
      </c>
      <c r="X214" t="s">
        <v>55</v>
      </c>
      <c r="Y214" t="s">
        <v>56</v>
      </c>
      <c r="Z214" t="s">
        <v>807</v>
      </c>
      <c r="AA214">
        <v>3167300</v>
      </c>
      <c r="AB214" t="s">
        <v>1251</v>
      </c>
      <c r="AC214">
        <v>2</v>
      </c>
      <c r="AG214" t="s">
        <v>1252</v>
      </c>
      <c r="AI214" s="8">
        <v>45551</v>
      </c>
      <c r="AJ214" s="11" t="e">
        <f t="shared" si="6"/>
        <v>#VALUE!</v>
      </c>
      <c r="AK214" s="23" t="e">
        <f t="shared" si="7"/>
        <v>#VALUE!</v>
      </c>
      <c r="AL214" t="s">
        <v>594</v>
      </c>
      <c r="AM214" t="s">
        <v>607</v>
      </c>
      <c r="AN214" t="s">
        <v>1253</v>
      </c>
      <c r="AO214" t="s">
        <v>1254</v>
      </c>
      <c r="AP214"/>
    </row>
    <row r="215" spans="2:43" ht="60" hidden="1">
      <c r="B215">
        <v>7</v>
      </c>
      <c r="C215">
        <v>800255589</v>
      </c>
      <c r="D215" t="s">
        <v>493</v>
      </c>
      <c r="E215" t="s">
        <v>493</v>
      </c>
      <c r="F215">
        <v>800255589</v>
      </c>
      <c r="G215" t="s">
        <v>493</v>
      </c>
      <c r="H215" t="s">
        <v>494</v>
      </c>
      <c r="I215" t="s">
        <v>197</v>
      </c>
      <c r="J215" t="s">
        <v>47</v>
      </c>
      <c r="K215" t="s">
        <v>48</v>
      </c>
      <c r="L215">
        <v>67</v>
      </c>
      <c r="M215">
        <v>66</v>
      </c>
      <c r="N215">
        <v>65</v>
      </c>
      <c r="O215" t="s">
        <v>48</v>
      </c>
      <c r="P215" t="s">
        <v>198</v>
      </c>
      <c r="Q215" t="s">
        <v>1255</v>
      </c>
      <c r="R215">
        <v>2024</v>
      </c>
      <c r="S215" t="s">
        <v>65</v>
      </c>
      <c r="T215" t="s">
        <v>293</v>
      </c>
      <c r="U215" s="8">
        <v>45498.343043981484</v>
      </c>
      <c r="V215" s="2" t="s">
        <v>1256</v>
      </c>
      <c r="X215" t="s">
        <v>55</v>
      </c>
      <c r="Y215" t="s">
        <v>56</v>
      </c>
      <c r="Z215" t="s">
        <v>807</v>
      </c>
      <c r="AA215">
        <v>4216883</v>
      </c>
      <c r="AB215" t="s">
        <v>497</v>
      </c>
      <c r="AC215">
        <v>2</v>
      </c>
      <c r="AJ215" s="9" t="str">
        <f t="shared" si="6"/>
        <v>Sin respuesta</v>
      </c>
      <c r="AK215" s="10" t="str">
        <f t="shared" si="7"/>
        <v>Sin respuesta</v>
      </c>
      <c r="AP215"/>
    </row>
    <row r="216" spans="2:43" ht="45" hidden="1">
      <c r="B216">
        <v>7</v>
      </c>
      <c r="C216">
        <v>890937010</v>
      </c>
      <c r="D216" t="s">
        <v>208</v>
      </c>
      <c r="E216" t="s">
        <v>208</v>
      </c>
      <c r="F216">
        <v>890937010</v>
      </c>
      <c r="G216" t="s">
        <v>208</v>
      </c>
      <c r="H216" t="s">
        <v>210</v>
      </c>
      <c r="I216" t="s">
        <v>211</v>
      </c>
      <c r="J216" t="s">
        <v>47</v>
      </c>
      <c r="K216" t="s">
        <v>48</v>
      </c>
      <c r="L216">
        <v>67</v>
      </c>
      <c r="M216">
        <v>66</v>
      </c>
      <c r="N216">
        <v>65</v>
      </c>
      <c r="O216" t="s">
        <v>48</v>
      </c>
      <c r="P216" t="s">
        <v>63</v>
      </c>
      <c r="Q216" t="s">
        <v>1257</v>
      </c>
      <c r="R216">
        <v>2024</v>
      </c>
      <c r="S216" t="s">
        <v>65</v>
      </c>
      <c r="T216" t="s">
        <v>293</v>
      </c>
      <c r="U216" s="8">
        <v>45498.373101851852</v>
      </c>
      <c r="V216" s="2" t="s">
        <v>1258</v>
      </c>
      <c r="X216" t="s">
        <v>55</v>
      </c>
      <c r="Y216" t="s">
        <v>56</v>
      </c>
      <c r="Z216" t="s">
        <v>807</v>
      </c>
      <c r="AA216">
        <v>4442388</v>
      </c>
      <c r="AB216" t="s">
        <v>214</v>
      </c>
      <c r="AC216">
        <v>2</v>
      </c>
      <c r="AJ216" s="9" t="str">
        <f t="shared" si="6"/>
        <v>Sin respuesta</v>
      </c>
      <c r="AK216" s="10" t="str">
        <f t="shared" si="7"/>
        <v>Sin respuesta</v>
      </c>
      <c r="AP216"/>
    </row>
    <row r="217" spans="2:43" ht="45" hidden="1">
      <c r="B217">
        <v>7</v>
      </c>
      <c r="C217">
        <v>830129423</v>
      </c>
      <c r="D217" t="s">
        <v>1259</v>
      </c>
      <c r="E217" t="s">
        <v>1259</v>
      </c>
      <c r="F217">
        <v>830129423</v>
      </c>
      <c r="G217" t="s">
        <v>1259</v>
      </c>
      <c r="H217" t="s">
        <v>1260</v>
      </c>
      <c r="I217" t="s">
        <v>104</v>
      </c>
      <c r="J217" t="s">
        <v>47</v>
      </c>
      <c r="K217" t="s">
        <v>48</v>
      </c>
      <c r="L217">
        <v>67</v>
      </c>
      <c r="M217">
        <v>66</v>
      </c>
      <c r="N217">
        <v>65</v>
      </c>
      <c r="O217" t="s">
        <v>48</v>
      </c>
      <c r="P217" t="s">
        <v>106</v>
      </c>
      <c r="Q217" t="s">
        <v>1261</v>
      </c>
      <c r="R217">
        <v>2024</v>
      </c>
      <c r="S217" t="s">
        <v>65</v>
      </c>
      <c r="T217" t="s">
        <v>293</v>
      </c>
      <c r="U217" s="8">
        <v>45498.477812500001</v>
      </c>
      <c r="V217" s="2" t="s">
        <v>1262</v>
      </c>
      <c r="X217" t="s">
        <v>55</v>
      </c>
      <c r="Y217" t="s">
        <v>56</v>
      </c>
      <c r="Z217" t="s">
        <v>807</v>
      </c>
      <c r="AA217">
        <v>7421981</v>
      </c>
      <c r="AB217" t="s">
        <v>1263</v>
      </c>
      <c r="AC217">
        <v>2</v>
      </c>
      <c r="AJ217" s="9" t="str">
        <f t="shared" si="6"/>
        <v>Sin respuesta</v>
      </c>
      <c r="AK217" s="10" t="str">
        <f t="shared" si="7"/>
        <v>Sin respuesta</v>
      </c>
      <c r="AP217"/>
    </row>
    <row r="218" spans="2:43" ht="60" hidden="1">
      <c r="B218">
        <v>7</v>
      </c>
      <c r="C218">
        <v>901360558</v>
      </c>
      <c r="D218" t="s">
        <v>1264</v>
      </c>
      <c r="E218" t="s">
        <v>1264</v>
      </c>
      <c r="F218">
        <v>901360558</v>
      </c>
      <c r="G218" t="s">
        <v>1264</v>
      </c>
      <c r="H218" t="s">
        <v>1265</v>
      </c>
      <c r="I218" t="s">
        <v>1266</v>
      </c>
      <c r="J218" t="s">
        <v>47</v>
      </c>
      <c r="K218" t="s">
        <v>48</v>
      </c>
      <c r="L218">
        <v>67</v>
      </c>
      <c r="M218">
        <v>67</v>
      </c>
      <c r="N218">
        <v>65</v>
      </c>
      <c r="O218" t="s">
        <v>48</v>
      </c>
      <c r="P218" t="s">
        <v>50</v>
      </c>
      <c r="Q218" t="s">
        <v>1267</v>
      </c>
      <c r="R218">
        <v>2024</v>
      </c>
      <c r="S218" t="s">
        <v>65</v>
      </c>
      <c r="T218" t="s">
        <v>293</v>
      </c>
      <c r="U218" s="8">
        <v>45498.660439814812</v>
      </c>
      <c r="V218" s="2" t="s">
        <v>1268</v>
      </c>
      <c r="X218" t="s">
        <v>55</v>
      </c>
      <c r="Y218" t="s">
        <v>368</v>
      </c>
      <c r="Z218" t="s">
        <v>807</v>
      </c>
      <c r="AA218">
        <v>8781108</v>
      </c>
      <c r="AB218" t="s">
        <v>1269</v>
      </c>
      <c r="AC218">
        <v>2</v>
      </c>
      <c r="AJ218" s="9" t="str">
        <f t="shared" si="6"/>
        <v>Sin respuesta</v>
      </c>
      <c r="AK218" s="10" t="str">
        <f t="shared" si="7"/>
        <v>Sin respuesta</v>
      </c>
      <c r="AP218"/>
    </row>
    <row r="219" spans="2:43" ht="60" hidden="1">
      <c r="B219">
        <v>7</v>
      </c>
      <c r="C219">
        <v>901360558</v>
      </c>
      <c r="D219" t="s">
        <v>1264</v>
      </c>
      <c r="E219" t="s">
        <v>1264</v>
      </c>
      <c r="F219">
        <v>901360558</v>
      </c>
      <c r="G219" t="s">
        <v>1264</v>
      </c>
      <c r="H219" t="s">
        <v>1265</v>
      </c>
      <c r="I219" t="s">
        <v>1266</v>
      </c>
      <c r="J219" t="s">
        <v>47</v>
      </c>
      <c r="K219" t="s">
        <v>48</v>
      </c>
      <c r="L219">
        <v>67</v>
      </c>
      <c r="M219">
        <v>66</v>
      </c>
      <c r="N219">
        <v>65</v>
      </c>
      <c r="O219" t="s">
        <v>48</v>
      </c>
      <c r="P219" t="s">
        <v>50</v>
      </c>
      <c r="Q219" t="s">
        <v>1270</v>
      </c>
      <c r="R219">
        <v>2024</v>
      </c>
      <c r="S219" t="s">
        <v>65</v>
      </c>
      <c r="T219" t="s">
        <v>334</v>
      </c>
      <c r="U219" s="8">
        <v>45498.68167824074</v>
      </c>
      <c r="V219" s="2" t="s">
        <v>1271</v>
      </c>
      <c r="X219" t="s">
        <v>55</v>
      </c>
      <c r="Y219" t="s">
        <v>56</v>
      </c>
      <c r="Z219" t="s">
        <v>807</v>
      </c>
      <c r="AA219">
        <v>8781108</v>
      </c>
      <c r="AB219" t="s">
        <v>1269</v>
      </c>
      <c r="AC219">
        <v>2</v>
      </c>
      <c r="AJ219" s="9" t="str">
        <f t="shared" si="6"/>
        <v>Sin respuesta</v>
      </c>
      <c r="AK219" s="10" t="str">
        <f t="shared" si="7"/>
        <v>Sin respuesta</v>
      </c>
      <c r="AP219"/>
    </row>
    <row r="220" spans="2:43" ht="60" hidden="1">
      <c r="B220">
        <v>7</v>
      </c>
      <c r="C220">
        <v>901454302</v>
      </c>
      <c r="D220" t="s">
        <v>1272</v>
      </c>
      <c r="E220" t="s">
        <v>1272</v>
      </c>
      <c r="F220">
        <v>901454302</v>
      </c>
      <c r="G220" t="s">
        <v>1272</v>
      </c>
      <c r="H220" t="s">
        <v>1273</v>
      </c>
      <c r="I220" t="s">
        <v>211</v>
      </c>
      <c r="J220" t="s">
        <v>47</v>
      </c>
      <c r="K220" t="s">
        <v>48</v>
      </c>
      <c r="L220">
        <v>66</v>
      </c>
      <c r="M220">
        <v>46</v>
      </c>
      <c r="N220">
        <v>64</v>
      </c>
      <c r="O220" t="s">
        <v>436</v>
      </c>
      <c r="P220" t="s">
        <v>63</v>
      </c>
      <c r="Q220" t="s">
        <v>1274</v>
      </c>
      <c r="R220">
        <v>2024</v>
      </c>
      <c r="S220" t="s">
        <v>65</v>
      </c>
      <c r="T220" t="s">
        <v>66</v>
      </c>
      <c r="U220" s="8">
        <v>45499.447245370371</v>
      </c>
      <c r="V220" s="2" t="s">
        <v>1275</v>
      </c>
      <c r="X220" t="s">
        <v>55</v>
      </c>
      <c r="Y220" t="s">
        <v>56</v>
      </c>
      <c r="Z220" t="s">
        <v>807</v>
      </c>
      <c r="AA220">
        <v>3207957137</v>
      </c>
      <c r="AB220" t="s">
        <v>1276</v>
      </c>
      <c r="AC220">
        <v>7</v>
      </c>
      <c r="AD220" s="14" t="s">
        <v>589</v>
      </c>
      <c r="AE220" t="s">
        <v>1192</v>
      </c>
      <c r="AF220" t="s">
        <v>1193</v>
      </c>
      <c r="AG220" t="s">
        <v>1277</v>
      </c>
      <c r="AH220" t="s">
        <v>55</v>
      </c>
      <c r="AI220" t="s">
        <v>593</v>
      </c>
      <c r="AJ220" s="9" t="e">
        <f t="shared" si="6"/>
        <v>#VALUE!</v>
      </c>
      <c r="AK220" s="10" t="e">
        <f t="shared" si="7"/>
        <v>#VALUE!</v>
      </c>
      <c r="AL220" s="15" t="s">
        <v>594</v>
      </c>
      <c r="AM220" s="15" t="s">
        <v>607</v>
      </c>
      <c r="AN220" s="15" t="s">
        <v>949</v>
      </c>
      <c r="AO220" t="s">
        <v>1278</v>
      </c>
      <c r="AP220">
        <v>182000</v>
      </c>
      <c r="AQ220" t="s">
        <v>598</v>
      </c>
    </row>
    <row r="221" spans="2:43" ht="60" hidden="1">
      <c r="B221">
        <v>7</v>
      </c>
      <c r="C221">
        <v>800098601</v>
      </c>
      <c r="D221" t="s">
        <v>844</v>
      </c>
      <c r="E221" t="s">
        <v>844</v>
      </c>
      <c r="F221">
        <v>800098601</v>
      </c>
      <c r="G221" t="s">
        <v>844</v>
      </c>
      <c r="H221" t="s">
        <v>845</v>
      </c>
      <c r="I221" t="s">
        <v>46</v>
      </c>
      <c r="J221" t="s">
        <v>47</v>
      </c>
      <c r="K221" t="s">
        <v>48</v>
      </c>
      <c r="L221">
        <v>63</v>
      </c>
      <c r="M221">
        <v>55</v>
      </c>
      <c r="N221">
        <v>61</v>
      </c>
      <c r="O221" t="s">
        <v>48</v>
      </c>
      <c r="P221" t="s">
        <v>50</v>
      </c>
      <c r="Q221" t="s">
        <v>1279</v>
      </c>
      <c r="R221">
        <v>2024</v>
      </c>
      <c r="S221" t="s">
        <v>65</v>
      </c>
      <c r="T221" t="s">
        <v>334</v>
      </c>
      <c r="U221" s="8">
        <v>45502.621134259258</v>
      </c>
      <c r="V221" s="2" t="s">
        <v>1280</v>
      </c>
      <c r="X221" t="s">
        <v>55</v>
      </c>
      <c r="Y221" t="s">
        <v>56</v>
      </c>
      <c r="Z221" t="s">
        <v>807</v>
      </c>
      <c r="AA221">
        <v>3858116</v>
      </c>
      <c r="AB221" t="s">
        <v>848</v>
      </c>
      <c r="AC221">
        <v>2</v>
      </c>
      <c r="AG221" t="s">
        <v>1252</v>
      </c>
      <c r="AJ221" s="11" t="str">
        <f t="shared" si="6"/>
        <v>Sin respuesta</v>
      </c>
      <c r="AK221" s="12" t="str">
        <f t="shared" si="7"/>
        <v>Sin respuesta</v>
      </c>
      <c r="AN221" t="s">
        <v>1281</v>
      </c>
      <c r="AO221" t="s">
        <v>1282</v>
      </c>
      <c r="AP221"/>
    </row>
    <row r="222" spans="2:43" ht="90" hidden="1">
      <c r="B222">
        <v>7</v>
      </c>
      <c r="C222">
        <v>890900044</v>
      </c>
      <c r="D222" t="s">
        <v>370</v>
      </c>
      <c r="E222" t="s">
        <v>371</v>
      </c>
      <c r="F222">
        <v>890900044</v>
      </c>
      <c r="G222" t="s">
        <v>371</v>
      </c>
      <c r="H222" t="s">
        <v>373</v>
      </c>
      <c r="I222" t="s">
        <v>211</v>
      </c>
      <c r="J222" t="s">
        <v>47</v>
      </c>
      <c r="K222" t="s">
        <v>48</v>
      </c>
      <c r="L222">
        <v>63</v>
      </c>
      <c r="M222">
        <v>55</v>
      </c>
      <c r="N222">
        <v>61</v>
      </c>
      <c r="O222" t="s">
        <v>436</v>
      </c>
      <c r="P222" t="s">
        <v>63</v>
      </c>
      <c r="Q222" t="s">
        <v>1283</v>
      </c>
      <c r="R222">
        <v>2024</v>
      </c>
      <c r="S222" t="s">
        <v>65</v>
      </c>
      <c r="T222" t="s">
        <v>66</v>
      </c>
      <c r="U222" s="8">
        <v>45502.647187499999</v>
      </c>
      <c r="V222" s="2" t="s">
        <v>1284</v>
      </c>
      <c r="X222" t="s">
        <v>55</v>
      </c>
      <c r="Y222" t="s">
        <v>56</v>
      </c>
      <c r="Z222" t="s">
        <v>807</v>
      </c>
      <c r="AA222">
        <v>4489343</v>
      </c>
      <c r="AB222" t="s">
        <v>376</v>
      </c>
      <c r="AC222">
        <v>7</v>
      </c>
      <c r="AD222" s="14" t="s">
        <v>439</v>
      </c>
      <c r="AE222" s="15"/>
      <c r="AJ222" s="9" t="str">
        <f t="shared" si="6"/>
        <v>Sin respuesta</v>
      </c>
      <c r="AK222" s="10" t="str">
        <f t="shared" si="7"/>
        <v>Sin respuesta</v>
      </c>
      <c r="AN222" s="15" t="s">
        <v>608</v>
      </c>
      <c r="AP222"/>
    </row>
    <row r="223" spans="2:43" ht="105" hidden="1">
      <c r="B223">
        <v>7</v>
      </c>
      <c r="C223">
        <v>901482950</v>
      </c>
      <c r="D223" t="s">
        <v>361</v>
      </c>
      <c r="E223" t="s">
        <v>362</v>
      </c>
      <c r="F223">
        <v>901482950</v>
      </c>
      <c r="G223">
        <v>901482950</v>
      </c>
      <c r="H223" t="s">
        <v>364</v>
      </c>
      <c r="I223" t="s">
        <v>365</v>
      </c>
      <c r="J223" t="s">
        <v>47</v>
      </c>
      <c r="K223" t="s">
        <v>48</v>
      </c>
      <c r="L223">
        <v>62</v>
      </c>
      <c r="M223">
        <v>41</v>
      </c>
      <c r="N223">
        <v>60</v>
      </c>
      <c r="O223" t="s">
        <v>62</v>
      </c>
      <c r="P223" t="s">
        <v>63</v>
      </c>
      <c r="Q223" t="s">
        <v>1285</v>
      </c>
      <c r="R223">
        <v>2024</v>
      </c>
      <c r="S223" t="s">
        <v>65</v>
      </c>
      <c r="T223" t="s">
        <v>66</v>
      </c>
      <c r="U223" s="8">
        <v>45503.390081018515</v>
      </c>
      <c r="V223" s="2" t="s">
        <v>1286</v>
      </c>
      <c r="X223" t="s">
        <v>55</v>
      </c>
      <c r="Y223" t="s">
        <v>56</v>
      </c>
      <c r="Z223" t="s">
        <v>807</v>
      </c>
      <c r="AA223">
        <v>3506921483</v>
      </c>
      <c r="AB223" t="s">
        <v>369</v>
      </c>
      <c r="AC223">
        <v>6</v>
      </c>
      <c r="AD223" s="2" t="s">
        <v>70</v>
      </c>
      <c r="AF223" t="s">
        <v>327</v>
      </c>
      <c r="AG223" t="s">
        <v>55</v>
      </c>
      <c r="AI223" s="8">
        <v>45510</v>
      </c>
      <c r="AJ223" s="23" t="e">
        <f t="shared" si="6"/>
        <v>#VALUE!</v>
      </c>
      <c r="AK223" s="23" t="e">
        <f t="shared" si="7"/>
        <v>#VALUE!</v>
      </c>
      <c r="AL223" t="s">
        <v>594</v>
      </c>
      <c r="AM223" t="s">
        <v>595</v>
      </c>
      <c r="AN223" s="13" t="s">
        <v>328</v>
      </c>
      <c r="AP223"/>
    </row>
    <row r="224" spans="2:43" ht="45" hidden="1">
      <c r="B224">
        <v>7</v>
      </c>
      <c r="C224">
        <v>830068708</v>
      </c>
      <c r="D224" t="s">
        <v>1287</v>
      </c>
      <c r="E224" t="s">
        <v>1288</v>
      </c>
      <c r="F224">
        <v>830068708</v>
      </c>
      <c r="G224" t="s">
        <v>1288</v>
      </c>
      <c r="H224" t="s">
        <v>1289</v>
      </c>
      <c r="I224" t="s">
        <v>104</v>
      </c>
      <c r="J224" t="s">
        <v>47</v>
      </c>
      <c r="K224" t="s">
        <v>48</v>
      </c>
      <c r="L224">
        <v>62</v>
      </c>
      <c r="M224">
        <v>60</v>
      </c>
      <c r="N224">
        <v>60</v>
      </c>
      <c r="O224" t="s">
        <v>48</v>
      </c>
      <c r="P224" t="s">
        <v>106</v>
      </c>
      <c r="Q224" t="s">
        <v>1290</v>
      </c>
      <c r="R224">
        <v>2024</v>
      </c>
      <c r="S224" t="s">
        <v>65</v>
      </c>
      <c r="T224" t="s">
        <v>293</v>
      </c>
      <c r="U224" s="8">
        <v>45503.411041666666</v>
      </c>
      <c r="V224" s="2" t="s">
        <v>1291</v>
      </c>
      <c r="X224" t="s">
        <v>55</v>
      </c>
      <c r="Y224" t="s">
        <v>56</v>
      </c>
      <c r="Z224" t="s">
        <v>807</v>
      </c>
      <c r="AA224">
        <v>6800511</v>
      </c>
      <c r="AB224" t="s">
        <v>1292</v>
      </c>
      <c r="AC224">
        <v>2</v>
      </c>
      <c r="AG224" t="s">
        <v>55</v>
      </c>
      <c r="AI224" s="8">
        <v>45516</v>
      </c>
      <c r="AJ224" s="11" t="e">
        <f t="shared" si="6"/>
        <v>#VALUE!</v>
      </c>
      <c r="AK224" s="23" t="e">
        <f t="shared" si="7"/>
        <v>#VALUE!</v>
      </c>
      <c r="AL224" t="s">
        <v>594</v>
      </c>
      <c r="AM224" t="s">
        <v>607</v>
      </c>
      <c r="AN224" t="s">
        <v>1293</v>
      </c>
      <c r="AO224" t="s">
        <v>1294</v>
      </c>
      <c r="AP224"/>
    </row>
    <row r="225" spans="2:43" ht="60" hidden="1">
      <c r="B225">
        <v>8</v>
      </c>
      <c r="C225">
        <v>900433054</v>
      </c>
      <c r="D225" t="s">
        <v>890</v>
      </c>
      <c r="E225" t="s">
        <v>890</v>
      </c>
      <c r="F225">
        <v>900433054</v>
      </c>
      <c r="G225" t="s">
        <v>890</v>
      </c>
      <c r="H225" t="s">
        <v>891</v>
      </c>
      <c r="I225" t="s">
        <v>892</v>
      </c>
      <c r="J225" t="s">
        <v>114</v>
      </c>
      <c r="K225" t="s">
        <v>48</v>
      </c>
      <c r="L225">
        <v>55</v>
      </c>
      <c r="M225">
        <v>53</v>
      </c>
      <c r="N225">
        <v>53</v>
      </c>
      <c r="O225" t="s">
        <v>49</v>
      </c>
      <c r="P225" t="s">
        <v>63</v>
      </c>
      <c r="Q225" t="s">
        <v>1295</v>
      </c>
      <c r="R225">
        <v>2024</v>
      </c>
      <c r="S225" t="s">
        <v>52</v>
      </c>
      <c r="T225" t="s">
        <v>116</v>
      </c>
      <c r="U225" s="8">
        <v>45510.462025462963</v>
      </c>
      <c r="V225" s="2" t="s">
        <v>1296</v>
      </c>
      <c r="X225" t="s">
        <v>55</v>
      </c>
      <c r="Y225" t="s">
        <v>56</v>
      </c>
      <c r="Z225" t="s">
        <v>807</v>
      </c>
      <c r="AA225">
        <v>8370353</v>
      </c>
      <c r="AB225" t="s">
        <v>895</v>
      </c>
      <c r="AC225">
        <v>3</v>
      </c>
      <c r="AJ225" s="9" t="str">
        <f t="shared" si="6"/>
        <v>Sin respuesta</v>
      </c>
      <c r="AK225" s="10" t="str">
        <f t="shared" si="7"/>
        <v>Sin respuesta</v>
      </c>
      <c r="AP225"/>
    </row>
    <row r="226" spans="2:43" ht="60" hidden="1">
      <c r="B226">
        <v>8</v>
      </c>
      <c r="C226">
        <v>87216638</v>
      </c>
      <c r="D226" t="s">
        <v>1297</v>
      </c>
      <c r="E226" t="s">
        <v>1298</v>
      </c>
      <c r="F226">
        <v>87216638</v>
      </c>
      <c r="G226" t="s">
        <v>1298</v>
      </c>
      <c r="H226" t="s">
        <v>1299</v>
      </c>
      <c r="I226" t="s">
        <v>1169</v>
      </c>
      <c r="J226" t="s">
        <v>114</v>
      </c>
      <c r="K226" t="s">
        <v>48</v>
      </c>
      <c r="L226">
        <v>55</v>
      </c>
      <c r="M226">
        <v>53</v>
      </c>
      <c r="N226">
        <v>53</v>
      </c>
      <c r="O226" t="s">
        <v>49</v>
      </c>
      <c r="P226" t="s">
        <v>85</v>
      </c>
      <c r="Q226" t="s">
        <v>1300</v>
      </c>
      <c r="R226">
        <v>2024</v>
      </c>
      <c r="S226" t="s">
        <v>52</v>
      </c>
      <c r="T226" t="s">
        <v>116</v>
      </c>
      <c r="U226" s="8">
        <v>45510.467048611114</v>
      </c>
      <c r="V226" s="2" t="s">
        <v>1301</v>
      </c>
      <c r="X226" t="s">
        <v>55</v>
      </c>
      <c r="Y226" t="s">
        <v>56</v>
      </c>
      <c r="Z226" t="s">
        <v>807</v>
      </c>
      <c r="AA226">
        <v>3185021327</v>
      </c>
      <c r="AB226" t="s">
        <v>1302</v>
      </c>
      <c r="AC226">
        <v>3</v>
      </c>
      <c r="AJ226" s="9" t="str">
        <f t="shared" si="6"/>
        <v>Sin respuesta</v>
      </c>
      <c r="AK226" s="10" t="str">
        <f t="shared" si="7"/>
        <v>Sin respuesta</v>
      </c>
      <c r="AP226"/>
    </row>
    <row r="227" spans="2:43" ht="45" hidden="1">
      <c r="B227">
        <v>8</v>
      </c>
      <c r="C227">
        <v>1038099654</v>
      </c>
      <c r="D227" t="s">
        <v>1303</v>
      </c>
      <c r="E227" t="s">
        <v>1303</v>
      </c>
      <c r="F227">
        <v>1038099654</v>
      </c>
      <c r="G227" t="s">
        <v>1303</v>
      </c>
      <c r="H227" t="s">
        <v>1304</v>
      </c>
      <c r="I227" t="s">
        <v>61</v>
      </c>
      <c r="J227" t="s">
        <v>47</v>
      </c>
      <c r="K227" t="s">
        <v>48</v>
      </c>
      <c r="L227">
        <v>55</v>
      </c>
      <c r="M227">
        <v>53</v>
      </c>
      <c r="N227">
        <v>53</v>
      </c>
      <c r="O227" t="s">
        <v>48</v>
      </c>
      <c r="P227" t="s">
        <v>63</v>
      </c>
      <c r="Q227" t="s">
        <v>1305</v>
      </c>
      <c r="R227">
        <v>2024</v>
      </c>
      <c r="S227" t="s">
        <v>65</v>
      </c>
      <c r="T227" t="s">
        <v>293</v>
      </c>
      <c r="U227" s="8">
        <v>45510.477986111109</v>
      </c>
      <c r="V227" s="2" t="s">
        <v>1306</v>
      </c>
      <c r="X227" t="s">
        <v>55</v>
      </c>
      <c r="Y227" t="s">
        <v>56</v>
      </c>
      <c r="Z227" t="s">
        <v>807</v>
      </c>
      <c r="AA227">
        <v>3148837895</v>
      </c>
      <c r="AB227" t="s">
        <v>1307</v>
      </c>
      <c r="AC227">
        <v>2</v>
      </c>
      <c r="AJ227" s="9" t="str">
        <f t="shared" si="6"/>
        <v>Sin respuesta</v>
      </c>
      <c r="AK227" s="10" t="str">
        <f t="shared" si="7"/>
        <v>Sin respuesta</v>
      </c>
      <c r="AP227"/>
    </row>
    <row r="228" spans="2:43" ht="45" hidden="1">
      <c r="B228">
        <v>8</v>
      </c>
      <c r="C228">
        <v>800008206</v>
      </c>
      <c r="D228" t="s">
        <v>1308</v>
      </c>
      <c r="E228" t="s">
        <v>1309</v>
      </c>
      <c r="F228">
        <v>800008206</v>
      </c>
      <c r="G228" t="s">
        <v>1309</v>
      </c>
      <c r="H228" t="s">
        <v>1310</v>
      </c>
      <c r="I228" t="s">
        <v>1311</v>
      </c>
      <c r="J228" t="s">
        <v>47</v>
      </c>
      <c r="K228" t="s">
        <v>48</v>
      </c>
      <c r="L228">
        <v>55</v>
      </c>
      <c r="M228">
        <v>52</v>
      </c>
      <c r="N228">
        <v>53</v>
      </c>
      <c r="O228" t="s">
        <v>49</v>
      </c>
      <c r="P228" t="s">
        <v>900</v>
      </c>
      <c r="Q228" t="s">
        <v>1312</v>
      </c>
      <c r="R228">
        <v>2024</v>
      </c>
      <c r="S228" t="s">
        <v>52</v>
      </c>
      <c r="T228" t="s">
        <v>351</v>
      </c>
      <c r="U228" s="8">
        <v>45510.641608796293</v>
      </c>
      <c r="V228" s="2" t="s">
        <v>1313</v>
      </c>
      <c r="X228" t="s">
        <v>55</v>
      </c>
      <c r="Y228" t="s">
        <v>56</v>
      </c>
      <c r="Z228" t="s">
        <v>807</v>
      </c>
      <c r="AA228">
        <v>5968305</v>
      </c>
      <c r="AB228" t="s">
        <v>1314</v>
      </c>
      <c r="AC228">
        <v>3</v>
      </c>
      <c r="AJ228" s="9" t="str">
        <f t="shared" si="6"/>
        <v>Sin respuesta</v>
      </c>
      <c r="AK228" s="10" t="str">
        <f t="shared" si="7"/>
        <v>Sin respuesta</v>
      </c>
      <c r="AP228"/>
    </row>
    <row r="229" spans="2:43" ht="45" hidden="1">
      <c r="B229">
        <v>8</v>
      </c>
      <c r="C229">
        <v>800098601</v>
      </c>
      <c r="D229" t="s">
        <v>844</v>
      </c>
      <c r="E229" t="s">
        <v>844</v>
      </c>
      <c r="F229">
        <v>800098601</v>
      </c>
      <c r="G229" t="s">
        <v>844</v>
      </c>
      <c r="H229" t="s">
        <v>845</v>
      </c>
      <c r="I229" t="s">
        <v>46</v>
      </c>
      <c r="J229" t="s">
        <v>47</v>
      </c>
      <c r="K229" t="s">
        <v>48</v>
      </c>
      <c r="L229">
        <v>55</v>
      </c>
      <c r="M229">
        <v>40</v>
      </c>
      <c r="N229">
        <v>53</v>
      </c>
      <c r="O229" t="s">
        <v>48</v>
      </c>
      <c r="P229" t="s">
        <v>50</v>
      </c>
      <c r="Q229" t="s">
        <v>1315</v>
      </c>
      <c r="R229">
        <v>2024</v>
      </c>
      <c r="S229" t="s">
        <v>65</v>
      </c>
      <c r="T229" t="s">
        <v>334</v>
      </c>
      <c r="U229" s="8">
        <v>45510.654282407406</v>
      </c>
      <c r="V229" s="2" t="s">
        <v>1316</v>
      </c>
      <c r="X229" t="s">
        <v>55</v>
      </c>
      <c r="Y229" t="s">
        <v>56</v>
      </c>
      <c r="Z229" t="s">
        <v>807</v>
      </c>
      <c r="AA229">
        <v>3858116</v>
      </c>
      <c r="AB229" t="s">
        <v>848</v>
      </c>
      <c r="AC229">
        <v>2</v>
      </c>
      <c r="AJ229" s="9" t="str">
        <f t="shared" si="6"/>
        <v>Sin respuesta</v>
      </c>
      <c r="AK229" s="10" t="str">
        <f t="shared" si="7"/>
        <v>Sin respuesta</v>
      </c>
      <c r="AP229"/>
    </row>
    <row r="230" spans="2:43" ht="30" hidden="1">
      <c r="B230">
        <v>8</v>
      </c>
      <c r="C230">
        <v>890932940</v>
      </c>
      <c r="D230" t="s">
        <v>553</v>
      </c>
      <c r="E230" t="s">
        <v>554</v>
      </c>
      <c r="F230">
        <v>890932940</v>
      </c>
      <c r="G230" t="s">
        <v>554</v>
      </c>
      <c r="H230" t="s">
        <v>556</v>
      </c>
      <c r="I230" t="s">
        <v>160</v>
      </c>
      <c r="J230" t="s">
        <v>47</v>
      </c>
      <c r="K230" t="s">
        <v>48</v>
      </c>
      <c r="L230">
        <v>55</v>
      </c>
      <c r="M230">
        <v>53</v>
      </c>
      <c r="N230">
        <v>53</v>
      </c>
      <c r="O230" t="s">
        <v>49</v>
      </c>
      <c r="P230" t="s">
        <v>63</v>
      </c>
      <c r="Q230" t="s">
        <v>1317</v>
      </c>
      <c r="R230">
        <v>2024</v>
      </c>
      <c r="S230" t="s">
        <v>124</v>
      </c>
      <c r="T230" t="s">
        <v>1099</v>
      </c>
      <c r="U230" s="8">
        <v>45510.702951388892</v>
      </c>
      <c r="V230" s="2" t="s">
        <v>1318</v>
      </c>
      <c r="X230" t="s">
        <v>55</v>
      </c>
      <c r="Y230" t="s">
        <v>56</v>
      </c>
      <c r="Z230" t="s">
        <v>807</v>
      </c>
      <c r="AA230">
        <v>4440340</v>
      </c>
      <c r="AB230" t="s">
        <v>559</v>
      </c>
      <c r="AC230">
        <v>3</v>
      </c>
      <c r="AJ230" s="9" t="str">
        <f t="shared" si="6"/>
        <v>Sin respuesta</v>
      </c>
      <c r="AK230" s="10" t="str">
        <f t="shared" si="7"/>
        <v>Sin respuesta</v>
      </c>
      <c r="AP230"/>
    </row>
    <row r="231" spans="2:43" ht="45" hidden="1">
      <c r="B231">
        <v>8</v>
      </c>
      <c r="C231">
        <v>860529323</v>
      </c>
      <c r="D231" t="s">
        <v>1319</v>
      </c>
      <c r="E231" t="s">
        <v>1320</v>
      </c>
      <c r="F231">
        <v>860529323</v>
      </c>
      <c r="G231" t="s">
        <v>1320</v>
      </c>
      <c r="H231" t="s">
        <v>1321</v>
      </c>
      <c r="I231" t="s">
        <v>104</v>
      </c>
      <c r="J231" t="s">
        <v>114</v>
      </c>
      <c r="K231" t="s">
        <v>48</v>
      </c>
      <c r="L231">
        <v>53</v>
      </c>
      <c r="M231">
        <v>52</v>
      </c>
      <c r="N231">
        <v>51</v>
      </c>
      <c r="O231" t="s">
        <v>49</v>
      </c>
      <c r="P231" t="s">
        <v>106</v>
      </c>
      <c r="Q231" t="s">
        <v>1322</v>
      </c>
      <c r="R231">
        <v>2024</v>
      </c>
      <c r="S231" t="s">
        <v>52</v>
      </c>
      <c r="T231" t="s">
        <v>116</v>
      </c>
      <c r="U231" s="8">
        <v>45512.508356481485</v>
      </c>
      <c r="V231" s="2" t="s">
        <v>1323</v>
      </c>
      <c r="X231" t="s">
        <v>55</v>
      </c>
      <c r="Y231" t="s">
        <v>56</v>
      </c>
      <c r="Z231" t="s">
        <v>807</v>
      </c>
      <c r="AA231">
        <v>2708185</v>
      </c>
      <c r="AB231" t="s">
        <v>1324</v>
      </c>
      <c r="AC231">
        <v>3</v>
      </c>
      <c r="AJ231" s="9" t="str">
        <f t="shared" si="6"/>
        <v>Sin respuesta</v>
      </c>
      <c r="AK231" s="10" t="str">
        <f t="shared" si="7"/>
        <v>Sin respuesta</v>
      </c>
      <c r="AP231"/>
    </row>
    <row r="232" spans="2:43" ht="60" hidden="1">
      <c r="B232">
        <v>8</v>
      </c>
      <c r="C232">
        <v>860529323</v>
      </c>
      <c r="D232" s="24" t="s">
        <v>1319</v>
      </c>
      <c r="E232" t="s">
        <v>1320</v>
      </c>
      <c r="F232">
        <v>860529323</v>
      </c>
      <c r="G232" t="s">
        <v>1320</v>
      </c>
      <c r="H232" t="s">
        <v>1321</v>
      </c>
      <c r="I232" t="s">
        <v>104</v>
      </c>
      <c r="J232" t="s">
        <v>114</v>
      </c>
      <c r="K232" t="s">
        <v>48</v>
      </c>
      <c r="L232">
        <v>53</v>
      </c>
      <c r="M232">
        <v>53</v>
      </c>
      <c r="N232">
        <v>51</v>
      </c>
      <c r="O232" t="s">
        <v>105</v>
      </c>
      <c r="P232" t="s">
        <v>106</v>
      </c>
      <c r="Q232" t="s">
        <v>1325</v>
      </c>
      <c r="R232">
        <v>2024</v>
      </c>
      <c r="S232" t="s">
        <v>124</v>
      </c>
      <c r="T232" t="s">
        <v>284</v>
      </c>
      <c r="U232" s="8">
        <v>45512.61383101852</v>
      </c>
      <c r="V232" s="2" t="s">
        <v>1326</v>
      </c>
      <c r="W232" s="2"/>
      <c r="X232" t="s">
        <v>55</v>
      </c>
      <c r="Y232" t="s">
        <v>56</v>
      </c>
      <c r="Z232" t="s">
        <v>807</v>
      </c>
      <c r="AA232">
        <v>2708185</v>
      </c>
      <c r="AB232" t="s">
        <v>1324</v>
      </c>
      <c r="AC232">
        <v>8</v>
      </c>
      <c r="AF232" s="15" t="s">
        <v>1327</v>
      </c>
      <c r="AG232" s="15" t="s">
        <v>592</v>
      </c>
      <c r="AH232" s="15" t="s">
        <v>55</v>
      </c>
      <c r="AI232" s="25">
        <v>45512</v>
      </c>
      <c r="AJ232" s="11" t="e">
        <f t="shared" si="6"/>
        <v>#VALUE!</v>
      </c>
      <c r="AK232" s="11" t="e">
        <f t="shared" si="7"/>
        <v>#VALUE!</v>
      </c>
      <c r="AL232" s="15" t="s">
        <v>1194</v>
      </c>
      <c r="AM232" s="15" t="s">
        <v>607</v>
      </c>
      <c r="AN232" s="15" t="s">
        <v>1328</v>
      </c>
      <c r="AO232" s="15"/>
      <c r="AP232" s="26">
        <v>1694784</v>
      </c>
      <c r="AQ232" s="15" t="s">
        <v>973</v>
      </c>
    </row>
    <row r="233" spans="2:43" ht="30" hidden="1">
      <c r="B233">
        <v>8</v>
      </c>
      <c r="C233">
        <v>901444226</v>
      </c>
      <c r="D233" t="s">
        <v>59</v>
      </c>
      <c r="E233" t="s">
        <v>59</v>
      </c>
      <c r="F233">
        <v>901444226</v>
      </c>
      <c r="G233" t="s">
        <v>59</v>
      </c>
      <c r="H233" t="s">
        <v>60</v>
      </c>
      <c r="I233" t="s">
        <v>61</v>
      </c>
      <c r="J233" t="s">
        <v>47</v>
      </c>
      <c r="K233" t="s">
        <v>48</v>
      </c>
      <c r="L233">
        <v>49</v>
      </c>
      <c r="M233">
        <v>49</v>
      </c>
      <c r="N233">
        <v>47</v>
      </c>
      <c r="O233" t="s">
        <v>48</v>
      </c>
      <c r="P233" t="s">
        <v>63</v>
      </c>
      <c r="Q233" t="s">
        <v>1329</v>
      </c>
      <c r="R233">
        <v>2024</v>
      </c>
      <c r="S233" t="s">
        <v>190</v>
      </c>
      <c r="T233" t="s">
        <v>713</v>
      </c>
      <c r="U233" s="8">
        <v>45516.627430555556</v>
      </c>
      <c r="V233" s="2" t="s">
        <v>1330</v>
      </c>
      <c r="X233" t="s">
        <v>1252</v>
      </c>
      <c r="Z233" t="s">
        <v>807</v>
      </c>
      <c r="AA233">
        <v>8390988</v>
      </c>
      <c r="AB233" t="s">
        <v>69</v>
      </c>
      <c r="AC233">
        <v>2</v>
      </c>
      <c r="AF233" s="15" t="s">
        <v>1327</v>
      </c>
      <c r="AG233" s="15" t="s">
        <v>592</v>
      </c>
      <c r="AH233" s="15" t="s">
        <v>55</v>
      </c>
      <c r="AI233" s="25">
        <v>45512</v>
      </c>
      <c r="AJ233" s="11" t="e">
        <f t="shared" si="6"/>
        <v>#VALUE!</v>
      </c>
      <c r="AK233" s="11" t="e">
        <f t="shared" si="7"/>
        <v>#VALUE!</v>
      </c>
      <c r="AL233" s="15" t="s">
        <v>1194</v>
      </c>
      <c r="AM233" s="15" t="s">
        <v>607</v>
      </c>
      <c r="AN233" s="15" t="s">
        <v>1328</v>
      </c>
      <c r="AO233" s="15"/>
      <c r="AP233" s="26">
        <v>1694784</v>
      </c>
      <c r="AQ233" s="15" t="s">
        <v>973</v>
      </c>
    </row>
    <row r="234" spans="2:43" ht="45" hidden="1">
      <c r="B234">
        <v>8</v>
      </c>
      <c r="C234">
        <v>43519996</v>
      </c>
      <c r="D234" t="s">
        <v>1331</v>
      </c>
      <c r="E234" t="s">
        <v>1332</v>
      </c>
      <c r="F234">
        <v>43519996</v>
      </c>
      <c r="G234" t="s">
        <v>1332</v>
      </c>
      <c r="H234" t="s">
        <v>1333</v>
      </c>
      <c r="I234" t="s">
        <v>348</v>
      </c>
      <c r="J234" t="s">
        <v>47</v>
      </c>
      <c r="K234" t="s">
        <v>48</v>
      </c>
      <c r="L234">
        <v>49</v>
      </c>
      <c r="M234">
        <v>49</v>
      </c>
      <c r="N234">
        <v>47</v>
      </c>
      <c r="O234" t="s">
        <v>48</v>
      </c>
      <c r="P234" t="s">
        <v>349</v>
      </c>
      <c r="Q234" t="s">
        <v>1334</v>
      </c>
      <c r="R234">
        <v>2024</v>
      </c>
      <c r="S234" t="s">
        <v>190</v>
      </c>
      <c r="T234" t="s">
        <v>713</v>
      </c>
      <c r="U234" s="8">
        <v>45516.636435185188</v>
      </c>
      <c r="V234" s="2" t="s">
        <v>1335</v>
      </c>
      <c r="X234" t="s">
        <v>55</v>
      </c>
      <c r="Y234" t="s">
        <v>368</v>
      </c>
      <c r="Z234" t="s">
        <v>807</v>
      </c>
      <c r="AA234">
        <v>3217214441</v>
      </c>
      <c r="AB234" t="s">
        <v>1336</v>
      </c>
      <c r="AC234">
        <v>2</v>
      </c>
      <c r="AJ234" s="9" t="str">
        <f t="shared" si="6"/>
        <v>Sin respuesta</v>
      </c>
      <c r="AK234" s="10" t="str">
        <f t="shared" si="7"/>
        <v>Sin respuesta</v>
      </c>
      <c r="AP234"/>
    </row>
    <row r="235" spans="2:43" ht="45" hidden="1">
      <c r="B235">
        <v>8</v>
      </c>
      <c r="C235">
        <v>43519996</v>
      </c>
      <c r="D235" s="24" t="s">
        <v>1331</v>
      </c>
      <c r="E235" t="s">
        <v>1332</v>
      </c>
      <c r="F235">
        <v>43519996</v>
      </c>
      <c r="G235" t="s">
        <v>1332</v>
      </c>
      <c r="H235" t="s">
        <v>1333</v>
      </c>
      <c r="I235" t="s">
        <v>348</v>
      </c>
      <c r="J235" t="s">
        <v>114</v>
      </c>
      <c r="K235" t="s">
        <v>48</v>
      </c>
      <c r="L235">
        <v>49</v>
      </c>
      <c r="M235">
        <v>17</v>
      </c>
      <c r="N235">
        <v>47</v>
      </c>
      <c r="O235" t="s">
        <v>436</v>
      </c>
      <c r="P235" t="s">
        <v>349</v>
      </c>
      <c r="Q235" t="s">
        <v>1337</v>
      </c>
      <c r="R235">
        <v>2024</v>
      </c>
      <c r="S235" t="s">
        <v>124</v>
      </c>
      <c r="T235" t="s">
        <v>313</v>
      </c>
      <c r="U235" s="8">
        <v>45516.657951388886</v>
      </c>
      <c r="V235" s="2" t="s">
        <v>1338</v>
      </c>
      <c r="W235" s="2"/>
      <c r="X235" t="s">
        <v>55</v>
      </c>
      <c r="Y235" t="s">
        <v>56</v>
      </c>
      <c r="Z235" t="s">
        <v>807</v>
      </c>
      <c r="AA235">
        <v>3217214441</v>
      </c>
      <c r="AB235" t="s">
        <v>1336</v>
      </c>
      <c r="AC235">
        <v>7</v>
      </c>
      <c r="AD235" s="14" t="s">
        <v>439</v>
      </c>
      <c r="AE235" s="15"/>
      <c r="AF235" s="15" t="s">
        <v>656</v>
      </c>
      <c r="AG235" s="15" t="s">
        <v>592</v>
      </c>
      <c r="AH235" s="15" t="s">
        <v>55</v>
      </c>
      <c r="AI235" s="25">
        <v>45539</v>
      </c>
      <c r="AJ235" s="11" t="e">
        <f t="shared" si="6"/>
        <v>#VALUE!</v>
      </c>
      <c r="AK235" s="11" t="e">
        <f t="shared" si="7"/>
        <v>#VALUE!</v>
      </c>
      <c r="AL235" s="15" t="s">
        <v>594</v>
      </c>
      <c r="AM235" s="15" t="s">
        <v>595</v>
      </c>
      <c r="AN235" s="15" t="s">
        <v>656</v>
      </c>
      <c r="AO235" s="15" t="s">
        <v>1339</v>
      </c>
      <c r="AP235" s="26">
        <v>0</v>
      </c>
      <c r="AQ235" s="15" t="s">
        <v>973</v>
      </c>
    </row>
    <row r="236" spans="2:43" ht="75" hidden="1">
      <c r="B236">
        <v>8</v>
      </c>
      <c r="C236">
        <v>15259992</v>
      </c>
      <c r="D236" t="s">
        <v>1340</v>
      </c>
      <c r="E236" t="s">
        <v>1341</v>
      </c>
      <c r="F236">
        <v>15259992</v>
      </c>
      <c r="G236">
        <v>15259992</v>
      </c>
      <c r="H236" t="s">
        <v>1342</v>
      </c>
      <c r="I236" t="s">
        <v>228</v>
      </c>
      <c r="J236" t="s">
        <v>47</v>
      </c>
      <c r="K236" t="s">
        <v>48</v>
      </c>
      <c r="L236">
        <v>49</v>
      </c>
      <c r="M236">
        <v>40</v>
      </c>
      <c r="N236">
        <v>47</v>
      </c>
      <c r="O236" t="s">
        <v>1343</v>
      </c>
      <c r="P236" t="s">
        <v>63</v>
      </c>
      <c r="Q236" t="s">
        <v>1344</v>
      </c>
      <c r="R236">
        <v>2024</v>
      </c>
      <c r="S236" t="s">
        <v>190</v>
      </c>
      <c r="T236" t="s">
        <v>1345</v>
      </c>
      <c r="U236" s="8">
        <v>45516.676863425928</v>
      </c>
      <c r="V236" s="2" t="s">
        <v>1346</v>
      </c>
      <c r="X236" t="s">
        <v>55</v>
      </c>
      <c r="Y236" t="s">
        <v>56</v>
      </c>
      <c r="Z236" t="s">
        <v>807</v>
      </c>
      <c r="AA236">
        <v>3032245</v>
      </c>
      <c r="AB236" t="s">
        <v>1347</v>
      </c>
      <c r="AC236">
        <v>1</v>
      </c>
      <c r="AF236" s="15" t="s">
        <v>656</v>
      </c>
      <c r="AG236" s="15" t="s">
        <v>592</v>
      </c>
      <c r="AH236" s="15" t="s">
        <v>55</v>
      </c>
      <c r="AI236" s="25">
        <v>45539</v>
      </c>
      <c r="AJ236" s="11" t="e">
        <f t="shared" si="6"/>
        <v>#VALUE!</v>
      </c>
      <c r="AK236" s="11" t="e">
        <f t="shared" si="7"/>
        <v>#VALUE!</v>
      </c>
      <c r="AL236" s="15" t="s">
        <v>594</v>
      </c>
      <c r="AM236" s="15" t="s">
        <v>595</v>
      </c>
      <c r="AN236" s="15" t="s">
        <v>1348</v>
      </c>
      <c r="AO236" s="15" t="s">
        <v>1339</v>
      </c>
      <c r="AP236" s="26">
        <v>0</v>
      </c>
      <c r="AQ236" s="15" t="s">
        <v>973</v>
      </c>
    </row>
    <row r="237" spans="2:43" ht="60" hidden="1">
      <c r="B237">
        <v>8</v>
      </c>
      <c r="C237">
        <v>901242669</v>
      </c>
      <c r="D237" t="s">
        <v>1349</v>
      </c>
      <c r="E237" t="s">
        <v>1349</v>
      </c>
      <c r="F237">
        <v>901242669</v>
      </c>
      <c r="G237" t="s">
        <v>1349</v>
      </c>
      <c r="H237" t="s">
        <v>1350</v>
      </c>
      <c r="I237" t="s">
        <v>1351</v>
      </c>
      <c r="J237" t="s">
        <v>47</v>
      </c>
      <c r="K237" t="s">
        <v>49</v>
      </c>
      <c r="L237">
        <v>49</v>
      </c>
      <c r="M237">
        <v>27</v>
      </c>
      <c r="N237">
        <v>47</v>
      </c>
      <c r="O237" t="s">
        <v>48</v>
      </c>
      <c r="P237" t="s">
        <v>97</v>
      </c>
      <c r="Q237" t="s">
        <v>1352</v>
      </c>
      <c r="R237">
        <v>2024</v>
      </c>
      <c r="S237" t="s">
        <v>65</v>
      </c>
      <c r="T237" t="s">
        <v>334</v>
      </c>
      <c r="U237" s="8">
        <v>45516.692893518521</v>
      </c>
      <c r="V237" s="2" t="s">
        <v>1353</v>
      </c>
      <c r="X237" t="s">
        <v>1354</v>
      </c>
      <c r="Z237" t="s">
        <v>807</v>
      </c>
      <c r="AA237">
        <v>5160928</v>
      </c>
      <c r="AB237" t="s">
        <v>1355</v>
      </c>
      <c r="AC237">
        <v>2</v>
      </c>
      <c r="AJ237" s="9" t="str">
        <f t="shared" si="6"/>
        <v>Sin respuesta</v>
      </c>
      <c r="AK237" s="10" t="str">
        <f t="shared" si="7"/>
        <v>Sin respuesta</v>
      </c>
      <c r="AP237"/>
    </row>
    <row r="238" spans="2:43" ht="60" hidden="1">
      <c r="B238">
        <v>8</v>
      </c>
      <c r="C238">
        <v>808002135</v>
      </c>
      <c r="D238" t="s">
        <v>287</v>
      </c>
      <c r="E238" t="s">
        <v>287</v>
      </c>
      <c r="F238">
        <v>808002135</v>
      </c>
      <c r="G238" t="s">
        <v>287</v>
      </c>
      <c r="H238" t="s">
        <v>289</v>
      </c>
      <c r="I238" t="s">
        <v>290</v>
      </c>
      <c r="J238" t="s">
        <v>114</v>
      </c>
      <c r="K238" t="s">
        <v>48</v>
      </c>
      <c r="L238">
        <v>49</v>
      </c>
      <c r="M238">
        <v>45</v>
      </c>
      <c r="N238">
        <v>47</v>
      </c>
      <c r="O238" t="s">
        <v>48</v>
      </c>
      <c r="P238" t="s">
        <v>291</v>
      </c>
      <c r="Q238" t="s">
        <v>1356</v>
      </c>
      <c r="R238">
        <v>2024</v>
      </c>
      <c r="S238" t="s">
        <v>52</v>
      </c>
      <c r="T238" t="s">
        <v>661</v>
      </c>
      <c r="U238" s="8">
        <v>45516.71334490741</v>
      </c>
      <c r="V238" s="2" t="s">
        <v>1357</v>
      </c>
      <c r="X238" t="s">
        <v>55</v>
      </c>
      <c r="Y238" t="s">
        <v>56</v>
      </c>
      <c r="Z238" t="s">
        <v>807</v>
      </c>
      <c r="AA238">
        <v>8676427</v>
      </c>
      <c r="AB238" t="s">
        <v>295</v>
      </c>
      <c r="AC238">
        <v>2</v>
      </c>
      <c r="AJ238" s="9" t="str">
        <f t="shared" si="6"/>
        <v>Sin respuesta</v>
      </c>
      <c r="AK238" s="10" t="str">
        <f t="shared" si="7"/>
        <v>Sin respuesta</v>
      </c>
      <c r="AP238"/>
    </row>
    <row r="239" spans="2:43" ht="45" hidden="1">
      <c r="B239">
        <v>8</v>
      </c>
      <c r="C239">
        <v>1045107399</v>
      </c>
      <c r="D239" s="24" t="s">
        <v>507</v>
      </c>
      <c r="E239" t="s">
        <v>507</v>
      </c>
      <c r="F239">
        <v>1045107399</v>
      </c>
      <c r="G239" t="s">
        <v>507</v>
      </c>
      <c r="H239" t="s">
        <v>509</v>
      </c>
      <c r="I239" t="s">
        <v>510</v>
      </c>
      <c r="J239" t="s">
        <v>114</v>
      </c>
      <c r="K239" t="s">
        <v>48</v>
      </c>
      <c r="L239">
        <v>48</v>
      </c>
      <c r="M239">
        <v>30</v>
      </c>
      <c r="N239">
        <v>46</v>
      </c>
      <c r="O239" t="s">
        <v>62</v>
      </c>
      <c r="P239" t="s">
        <v>63</v>
      </c>
      <c r="Q239" t="s">
        <v>1358</v>
      </c>
      <c r="R239">
        <v>2024</v>
      </c>
      <c r="S239" t="s">
        <v>124</v>
      </c>
      <c r="T239" t="s">
        <v>284</v>
      </c>
      <c r="U239" s="8">
        <v>45517.356423611112</v>
      </c>
      <c r="V239" s="2" t="s">
        <v>1359</v>
      </c>
      <c r="W239" s="2"/>
      <c r="X239" t="s">
        <v>55</v>
      </c>
      <c r="Y239" t="s">
        <v>56</v>
      </c>
      <c r="Z239" t="s">
        <v>807</v>
      </c>
      <c r="AA239">
        <v>8654022</v>
      </c>
      <c r="AB239" t="s">
        <v>513</v>
      </c>
      <c r="AC239">
        <v>6</v>
      </c>
      <c r="AD239" s="2" t="s">
        <v>91</v>
      </c>
      <c r="AF239" s="15" t="s">
        <v>1360</v>
      </c>
      <c r="AG239" s="15" t="s">
        <v>592</v>
      </c>
      <c r="AH239" s="15" t="s">
        <v>55</v>
      </c>
      <c r="AI239" s="25">
        <v>45535</v>
      </c>
      <c r="AJ239" s="11" t="e">
        <f t="shared" si="6"/>
        <v>#VALUE!</v>
      </c>
      <c r="AK239" s="11" t="e">
        <f t="shared" si="7"/>
        <v>#VALUE!</v>
      </c>
      <c r="AL239" s="15" t="s">
        <v>594</v>
      </c>
      <c r="AM239" s="15" t="s">
        <v>595</v>
      </c>
      <c r="AN239" s="15" t="s">
        <v>1361</v>
      </c>
      <c r="AO239" s="15" t="s">
        <v>1362</v>
      </c>
      <c r="AP239" s="26">
        <v>265277</v>
      </c>
      <c r="AQ239" s="15" t="s">
        <v>598</v>
      </c>
    </row>
    <row r="240" spans="2:43" ht="60" hidden="1">
      <c r="B240">
        <v>8</v>
      </c>
      <c r="C240">
        <v>900642402</v>
      </c>
      <c r="D240" t="s">
        <v>1363</v>
      </c>
      <c r="E240" t="s">
        <v>1363</v>
      </c>
      <c r="F240">
        <v>900642402</v>
      </c>
      <c r="G240" t="s">
        <v>1363</v>
      </c>
      <c r="H240" t="s">
        <v>1364</v>
      </c>
      <c r="I240" t="s">
        <v>104</v>
      </c>
      <c r="J240" t="s">
        <v>114</v>
      </c>
      <c r="K240" t="s">
        <v>48</v>
      </c>
      <c r="L240">
        <v>48</v>
      </c>
      <c r="M240">
        <v>48</v>
      </c>
      <c r="N240">
        <v>46</v>
      </c>
      <c r="O240" t="s">
        <v>49</v>
      </c>
      <c r="P240" t="s">
        <v>106</v>
      </c>
      <c r="Q240" t="s">
        <v>1365</v>
      </c>
      <c r="R240">
        <v>2024</v>
      </c>
      <c r="S240" t="s">
        <v>190</v>
      </c>
      <c r="T240" t="s">
        <v>1366</v>
      </c>
      <c r="U240" s="8">
        <v>45517.423333333332</v>
      </c>
      <c r="V240" s="2" t="s">
        <v>1367</v>
      </c>
      <c r="X240" t="s">
        <v>55</v>
      </c>
      <c r="Y240" t="s">
        <v>56</v>
      </c>
      <c r="Z240" t="s">
        <v>807</v>
      </c>
      <c r="AA240">
        <v>3158559980</v>
      </c>
      <c r="AB240" t="s">
        <v>1368</v>
      </c>
      <c r="AC240">
        <v>3</v>
      </c>
      <c r="AF240" s="20" t="s">
        <v>1360</v>
      </c>
      <c r="AG240" s="15" t="s">
        <v>592</v>
      </c>
      <c r="AH240" s="15" t="s">
        <v>55</v>
      </c>
      <c r="AI240" s="25">
        <v>45535</v>
      </c>
      <c r="AJ240" s="11" t="e">
        <f t="shared" si="6"/>
        <v>#VALUE!</v>
      </c>
      <c r="AK240" s="11" t="e">
        <f t="shared" si="7"/>
        <v>#VALUE!</v>
      </c>
      <c r="AL240" s="15" t="s">
        <v>594</v>
      </c>
      <c r="AM240" s="15" t="s">
        <v>595</v>
      </c>
      <c r="AN240" s="15" t="s">
        <v>1361</v>
      </c>
      <c r="AO240" s="15" t="s">
        <v>1362</v>
      </c>
      <c r="AP240" s="26">
        <v>265277</v>
      </c>
      <c r="AQ240" s="15" t="s">
        <v>598</v>
      </c>
    </row>
    <row r="241" spans="2:43" ht="60" hidden="1">
      <c r="B241">
        <v>8</v>
      </c>
      <c r="C241">
        <v>890932940</v>
      </c>
      <c r="D241" t="s">
        <v>553</v>
      </c>
      <c r="E241" t="s">
        <v>554</v>
      </c>
      <c r="F241">
        <v>890932940</v>
      </c>
      <c r="G241">
        <v>890932940</v>
      </c>
      <c r="H241" t="s">
        <v>556</v>
      </c>
      <c r="I241" t="s">
        <v>160</v>
      </c>
      <c r="J241" t="s">
        <v>47</v>
      </c>
      <c r="K241" t="s">
        <v>48</v>
      </c>
      <c r="L241">
        <v>48</v>
      </c>
      <c r="M241">
        <v>39</v>
      </c>
      <c r="N241">
        <v>46</v>
      </c>
      <c r="O241" t="s">
        <v>49</v>
      </c>
      <c r="P241" t="s">
        <v>63</v>
      </c>
      <c r="Q241" t="s">
        <v>1369</v>
      </c>
      <c r="R241">
        <v>2024</v>
      </c>
      <c r="S241" t="s">
        <v>124</v>
      </c>
      <c r="T241" t="s">
        <v>1099</v>
      </c>
      <c r="U241" s="8">
        <v>45517.462627314817</v>
      </c>
      <c r="V241" s="2" t="s">
        <v>1370</v>
      </c>
      <c r="X241" t="s">
        <v>55</v>
      </c>
      <c r="Y241" t="s">
        <v>56</v>
      </c>
      <c r="Z241" t="s">
        <v>807</v>
      </c>
      <c r="AA241">
        <v>4440340</v>
      </c>
      <c r="AB241" t="s">
        <v>559</v>
      </c>
      <c r="AC241">
        <v>3</v>
      </c>
      <c r="AJ241" s="9" t="str">
        <f t="shared" si="6"/>
        <v>Sin respuesta</v>
      </c>
      <c r="AK241" s="10" t="str">
        <f t="shared" si="7"/>
        <v>Sin respuesta</v>
      </c>
      <c r="AP241"/>
    </row>
    <row r="242" spans="2:43" ht="45" hidden="1">
      <c r="B242">
        <v>8</v>
      </c>
      <c r="C242">
        <v>901222151</v>
      </c>
      <c r="D242" t="s">
        <v>1371</v>
      </c>
      <c r="E242" t="s">
        <v>1372</v>
      </c>
      <c r="F242">
        <v>901222151</v>
      </c>
      <c r="G242" t="s">
        <v>1372</v>
      </c>
      <c r="H242" t="s">
        <v>1373</v>
      </c>
      <c r="I242" t="s">
        <v>601</v>
      </c>
      <c r="J242" t="s">
        <v>47</v>
      </c>
      <c r="K242" t="s">
        <v>48</v>
      </c>
      <c r="L242">
        <v>48</v>
      </c>
      <c r="M242">
        <v>38</v>
      </c>
      <c r="N242">
        <v>46</v>
      </c>
      <c r="O242" t="s">
        <v>48</v>
      </c>
      <c r="P242" t="s">
        <v>63</v>
      </c>
      <c r="Q242" t="s">
        <v>1374</v>
      </c>
      <c r="R242">
        <v>2024</v>
      </c>
      <c r="S242" t="s">
        <v>65</v>
      </c>
      <c r="T242" t="s">
        <v>334</v>
      </c>
      <c r="U242" s="8">
        <v>45517.532395833332</v>
      </c>
      <c r="V242" s="2" t="s">
        <v>1375</v>
      </c>
      <c r="X242" t="s">
        <v>55</v>
      </c>
      <c r="Y242" t="s">
        <v>56</v>
      </c>
      <c r="Z242" t="s">
        <v>807</v>
      </c>
      <c r="AA242">
        <v>3218024585</v>
      </c>
      <c r="AB242" t="s">
        <v>1376</v>
      </c>
      <c r="AC242">
        <v>2</v>
      </c>
      <c r="AJ242" s="9" t="str">
        <f t="shared" si="6"/>
        <v>Sin respuesta</v>
      </c>
      <c r="AK242" s="10" t="str">
        <f t="shared" si="7"/>
        <v>Sin respuesta</v>
      </c>
      <c r="AP242"/>
    </row>
    <row r="243" spans="2:43" ht="45" hidden="1">
      <c r="B243">
        <v>8</v>
      </c>
      <c r="C243">
        <v>83211948</v>
      </c>
      <c r="D243" s="24" t="s">
        <v>1377</v>
      </c>
      <c r="E243" t="s">
        <v>1377</v>
      </c>
      <c r="F243">
        <v>83211948</v>
      </c>
      <c r="G243" t="s">
        <v>1377</v>
      </c>
      <c r="H243" t="s">
        <v>1378</v>
      </c>
      <c r="I243" t="s">
        <v>332</v>
      </c>
      <c r="J243" t="s">
        <v>114</v>
      </c>
      <c r="K243" t="s">
        <v>48</v>
      </c>
      <c r="L243">
        <v>47</v>
      </c>
      <c r="M243">
        <v>30</v>
      </c>
      <c r="N243">
        <v>45</v>
      </c>
      <c r="O243" t="s">
        <v>62</v>
      </c>
      <c r="P243" t="s">
        <v>85</v>
      </c>
      <c r="Q243" t="s">
        <v>1379</v>
      </c>
      <c r="R243">
        <v>2024</v>
      </c>
      <c r="S243" t="s">
        <v>124</v>
      </c>
      <c r="T243" t="s">
        <v>284</v>
      </c>
      <c r="U243" s="8">
        <v>45518.459305555552</v>
      </c>
      <c r="V243" s="2" t="s">
        <v>1380</v>
      </c>
      <c r="W243" s="2"/>
      <c r="X243" t="s">
        <v>55</v>
      </c>
      <c r="Y243" t="s">
        <v>56</v>
      </c>
      <c r="Z243" t="s">
        <v>807</v>
      </c>
      <c r="AA243">
        <v>3165357425</v>
      </c>
      <c r="AB243" t="s">
        <v>1381</v>
      </c>
      <c r="AC243">
        <v>6</v>
      </c>
      <c r="AD243" s="2" t="s">
        <v>91</v>
      </c>
      <c r="AF243" s="15" t="s">
        <v>1360</v>
      </c>
      <c r="AG243" s="15" t="s">
        <v>592</v>
      </c>
      <c r="AH243" s="15" t="s">
        <v>55</v>
      </c>
      <c r="AI243" s="25">
        <v>45535</v>
      </c>
      <c r="AJ243" s="11" t="e">
        <f t="shared" si="6"/>
        <v>#VALUE!</v>
      </c>
      <c r="AK243" s="11" t="e">
        <f t="shared" si="7"/>
        <v>#VALUE!</v>
      </c>
      <c r="AL243" s="15" t="s">
        <v>594</v>
      </c>
      <c r="AM243" s="15" t="s">
        <v>595</v>
      </c>
      <c r="AN243" s="15" t="s">
        <v>1382</v>
      </c>
      <c r="AO243" s="15" t="s">
        <v>1362</v>
      </c>
      <c r="AP243" s="26">
        <v>773401</v>
      </c>
      <c r="AQ243" s="15" t="s">
        <v>598</v>
      </c>
    </row>
    <row r="244" spans="2:43" ht="75" hidden="1">
      <c r="B244">
        <v>8</v>
      </c>
      <c r="C244">
        <v>76307175</v>
      </c>
      <c r="D244" t="s">
        <v>1383</v>
      </c>
      <c r="E244" t="s">
        <v>1384</v>
      </c>
      <c r="F244">
        <v>76307175</v>
      </c>
      <c r="G244" t="s">
        <v>1384</v>
      </c>
      <c r="H244" t="s">
        <v>1385</v>
      </c>
      <c r="I244" t="s">
        <v>884</v>
      </c>
      <c r="J244" t="s">
        <v>47</v>
      </c>
      <c r="K244" t="s">
        <v>48</v>
      </c>
      <c r="L244">
        <v>47</v>
      </c>
      <c r="M244">
        <v>38</v>
      </c>
      <c r="N244">
        <v>45</v>
      </c>
      <c r="O244" t="s">
        <v>49</v>
      </c>
      <c r="P244" t="s">
        <v>131</v>
      </c>
      <c r="Q244" t="s">
        <v>1386</v>
      </c>
      <c r="R244">
        <v>2024</v>
      </c>
      <c r="S244" t="s">
        <v>65</v>
      </c>
      <c r="T244" t="s">
        <v>77</v>
      </c>
      <c r="U244" s="8">
        <v>45518.491296296299</v>
      </c>
      <c r="V244" s="2" t="s">
        <v>1387</v>
      </c>
      <c r="X244" t="s">
        <v>55</v>
      </c>
      <c r="Y244" t="s">
        <v>56</v>
      </c>
      <c r="Z244" t="s">
        <v>807</v>
      </c>
      <c r="AA244">
        <v>3173437136</v>
      </c>
      <c r="AB244" t="s">
        <v>1388</v>
      </c>
      <c r="AC244">
        <v>3</v>
      </c>
      <c r="AF244" s="20" t="s">
        <v>1360</v>
      </c>
      <c r="AG244" s="15" t="s">
        <v>592</v>
      </c>
      <c r="AH244" s="15" t="s">
        <v>55</v>
      </c>
      <c r="AI244" s="25">
        <v>45535</v>
      </c>
      <c r="AJ244" s="11" t="e">
        <f t="shared" si="6"/>
        <v>#VALUE!</v>
      </c>
      <c r="AK244" s="11" t="e">
        <f t="shared" si="7"/>
        <v>#VALUE!</v>
      </c>
      <c r="AL244" s="15" t="s">
        <v>594</v>
      </c>
      <c r="AM244" s="15" t="s">
        <v>595</v>
      </c>
      <c r="AN244" s="15" t="s">
        <v>1382</v>
      </c>
      <c r="AO244" s="15" t="s">
        <v>1362</v>
      </c>
      <c r="AP244" s="26">
        <v>773401</v>
      </c>
      <c r="AQ244" s="15" t="s">
        <v>598</v>
      </c>
    </row>
    <row r="245" spans="2:43" ht="45" hidden="1">
      <c r="B245">
        <v>8</v>
      </c>
      <c r="C245">
        <v>15378042</v>
      </c>
      <c r="D245" t="s">
        <v>514</v>
      </c>
      <c r="E245" t="s">
        <v>515</v>
      </c>
      <c r="F245">
        <v>15378042</v>
      </c>
      <c r="G245" t="s">
        <v>515</v>
      </c>
      <c r="H245" t="s">
        <v>516</v>
      </c>
      <c r="I245" t="s">
        <v>517</v>
      </c>
      <c r="J245" t="s">
        <v>47</v>
      </c>
      <c r="K245" t="s">
        <v>48</v>
      </c>
      <c r="L245">
        <v>47</v>
      </c>
      <c r="M245">
        <v>38</v>
      </c>
      <c r="N245">
        <v>45</v>
      </c>
      <c r="O245" t="s">
        <v>48</v>
      </c>
      <c r="P245" t="s">
        <v>63</v>
      </c>
      <c r="Q245" t="s">
        <v>1389</v>
      </c>
      <c r="R245">
        <v>2024</v>
      </c>
      <c r="S245" t="s">
        <v>65</v>
      </c>
      <c r="T245" t="s">
        <v>334</v>
      </c>
      <c r="U245" s="8">
        <v>45518.629212962966</v>
      </c>
      <c r="V245" s="2" t="s">
        <v>1390</v>
      </c>
      <c r="X245" t="s">
        <v>55</v>
      </c>
      <c r="Y245" t="s">
        <v>56</v>
      </c>
      <c r="Z245" t="s">
        <v>807</v>
      </c>
      <c r="AA245">
        <v>5531705</v>
      </c>
      <c r="AB245" t="s">
        <v>520</v>
      </c>
      <c r="AC245">
        <v>2</v>
      </c>
      <c r="AJ245" s="9" t="str">
        <f t="shared" si="6"/>
        <v>Sin respuesta</v>
      </c>
      <c r="AK245" s="10" t="str">
        <f t="shared" si="7"/>
        <v>Sin respuesta</v>
      </c>
      <c r="AP245"/>
    </row>
    <row r="246" spans="2:43" ht="60" hidden="1">
      <c r="B246">
        <v>8</v>
      </c>
      <c r="C246">
        <v>901624935</v>
      </c>
      <c r="D246" t="s">
        <v>1391</v>
      </c>
      <c r="E246" t="s">
        <v>1392</v>
      </c>
      <c r="F246">
        <v>901624935</v>
      </c>
      <c r="G246" t="s">
        <v>1392</v>
      </c>
      <c r="H246" t="s">
        <v>1393</v>
      </c>
      <c r="I246" t="s">
        <v>264</v>
      </c>
      <c r="J246" t="s">
        <v>47</v>
      </c>
      <c r="K246" t="s">
        <v>48</v>
      </c>
      <c r="L246">
        <v>46</v>
      </c>
      <c r="M246">
        <v>46</v>
      </c>
      <c r="N246">
        <v>44</v>
      </c>
      <c r="O246" t="s">
        <v>48</v>
      </c>
      <c r="P246" t="s">
        <v>265</v>
      </c>
      <c r="Q246" t="s">
        <v>1394</v>
      </c>
      <c r="R246">
        <v>2024</v>
      </c>
      <c r="S246" t="s">
        <v>65</v>
      </c>
      <c r="T246" t="s">
        <v>293</v>
      </c>
      <c r="U246" s="8">
        <v>45519.343310185184</v>
      </c>
      <c r="V246" s="2" t="s">
        <v>1395</v>
      </c>
      <c r="X246" t="s">
        <v>55</v>
      </c>
      <c r="Y246" t="s">
        <v>56</v>
      </c>
      <c r="Z246" t="s">
        <v>807</v>
      </c>
      <c r="AA246">
        <v>3106325752</v>
      </c>
      <c r="AB246" t="s">
        <v>1396</v>
      </c>
      <c r="AC246">
        <v>2</v>
      </c>
      <c r="AJ246" s="9" t="str">
        <f t="shared" si="6"/>
        <v>Sin respuesta</v>
      </c>
      <c r="AK246" s="10" t="str">
        <f t="shared" si="7"/>
        <v>Sin respuesta</v>
      </c>
      <c r="AP246"/>
    </row>
    <row r="247" spans="2:43" ht="45" hidden="1">
      <c r="B247">
        <v>8</v>
      </c>
      <c r="C247">
        <v>70567369</v>
      </c>
      <c r="D247" t="s">
        <v>1397</v>
      </c>
      <c r="E247" t="s">
        <v>1398</v>
      </c>
      <c r="F247">
        <v>70567369</v>
      </c>
      <c r="G247" t="s">
        <v>1398</v>
      </c>
      <c r="H247" t="s">
        <v>1399</v>
      </c>
      <c r="I247" t="s">
        <v>1400</v>
      </c>
      <c r="J247" t="s">
        <v>47</v>
      </c>
      <c r="K247" t="s">
        <v>48</v>
      </c>
      <c r="L247">
        <v>46</v>
      </c>
      <c r="M247">
        <v>38</v>
      </c>
      <c r="N247">
        <v>44</v>
      </c>
      <c r="O247" t="s">
        <v>49</v>
      </c>
      <c r="P247" t="s">
        <v>63</v>
      </c>
      <c r="Q247" t="s">
        <v>1401</v>
      </c>
      <c r="R247">
        <v>2024</v>
      </c>
      <c r="S247" t="s">
        <v>124</v>
      </c>
      <c r="T247" t="s">
        <v>537</v>
      </c>
      <c r="U247" s="8">
        <v>45519.433958333335</v>
      </c>
      <c r="V247" s="2" t="s">
        <v>1402</v>
      </c>
      <c r="X247" t="s">
        <v>55</v>
      </c>
      <c r="Y247" t="s">
        <v>56</v>
      </c>
      <c r="Z247" t="s">
        <v>807</v>
      </c>
      <c r="AA247">
        <v>8331307</v>
      </c>
      <c r="AB247" t="s">
        <v>1403</v>
      </c>
      <c r="AC247">
        <v>3</v>
      </c>
      <c r="AJ247" s="9" t="str">
        <f t="shared" si="6"/>
        <v>Sin respuesta</v>
      </c>
      <c r="AK247" s="10" t="str">
        <f t="shared" si="7"/>
        <v>Sin respuesta</v>
      </c>
      <c r="AP247"/>
    </row>
    <row r="248" spans="2:43" ht="60" hidden="1">
      <c r="B248">
        <v>8</v>
      </c>
      <c r="C248">
        <v>890928342</v>
      </c>
      <c r="D248" t="s">
        <v>1404</v>
      </c>
      <c r="E248" t="s">
        <v>1404</v>
      </c>
      <c r="F248">
        <v>890928342</v>
      </c>
      <c r="G248" t="s">
        <v>1404</v>
      </c>
      <c r="H248" t="s">
        <v>1405</v>
      </c>
      <c r="I248" t="s">
        <v>211</v>
      </c>
      <c r="J248" t="s">
        <v>47</v>
      </c>
      <c r="K248" t="s">
        <v>48</v>
      </c>
      <c r="L248">
        <v>41</v>
      </c>
      <c r="M248">
        <v>25</v>
      </c>
      <c r="N248">
        <v>39</v>
      </c>
      <c r="O248" t="s">
        <v>49</v>
      </c>
      <c r="P248" t="s">
        <v>63</v>
      </c>
      <c r="Q248" t="s">
        <v>1406</v>
      </c>
      <c r="R248">
        <v>2024</v>
      </c>
      <c r="S248" t="s">
        <v>52</v>
      </c>
      <c r="T248" t="s">
        <v>53</v>
      </c>
      <c r="U248" s="8">
        <v>45524.401712962965</v>
      </c>
      <c r="V248" s="2" t="s">
        <v>1407</v>
      </c>
      <c r="X248" t="s">
        <v>55</v>
      </c>
      <c r="Y248" t="s">
        <v>56</v>
      </c>
      <c r="Z248" t="s">
        <v>807</v>
      </c>
      <c r="AA248">
        <v>3245131267</v>
      </c>
      <c r="AB248" t="s">
        <v>1408</v>
      </c>
      <c r="AC248">
        <v>3</v>
      </c>
      <c r="AJ248" s="9" t="str">
        <f t="shared" si="6"/>
        <v>Sin respuesta</v>
      </c>
      <c r="AK248" s="10" t="str">
        <f t="shared" si="7"/>
        <v>Sin respuesta</v>
      </c>
      <c r="AP248"/>
    </row>
    <row r="249" spans="2:43" ht="60" hidden="1">
      <c r="B249">
        <v>8</v>
      </c>
      <c r="C249">
        <v>890906276</v>
      </c>
      <c r="D249" s="24" t="s">
        <v>1409</v>
      </c>
      <c r="E249" t="s">
        <v>1409</v>
      </c>
      <c r="F249">
        <v>890906276</v>
      </c>
      <c r="G249" t="s">
        <v>1409</v>
      </c>
      <c r="H249" t="s">
        <v>1410</v>
      </c>
      <c r="I249" t="s">
        <v>211</v>
      </c>
      <c r="J249" t="s">
        <v>114</v>
      </c>
      <c r="K249" t="s">
        <v>48</v>
      </c>
      <c r="L249">
        <v>40</v>
      </c>
      <c r="M249">
        <v>26</v>
      </c>
      <c r="N249">
        <v>38</v>
      </c>
      <c r="O249" t="s">
        <v>105</v>
      </c>
      <c r="P249" t="s">
        <v>63</v>
      </c>
      <c r="Q249" t="s">
        <v>1411</v>
      </c>
      <c r="R249">
        <v>2024</v>
      </c>
      <c r="S249" t="s">
        <v>124</v>
      </c>
      <c r="T249" t="s">
        <v>284</v>
      </c>
      <c r="U249" s="8">
        <v>45525.471921296295</v>
      </c>
      <c r="V249" s="2" t="s">
        <v>1412</v>
      </c>
      <c r="W249" s="2"/>
      <c r="X249" t="s">
        <v>55</v>
      </c>
      <c r="Y249" t="s">
        <v>56</v>
      </c>
      <c r="Z249" t="s">
        <v>807</v>
      </c>
      <c r="AA249">
        <v>3843300</v>
      </c>
      <c r="AB249" t="s">
        <v>1413</v>
      </c>
      <c r="AC249">
        <v>8</v>
      </c>
      <c r="AF249" s="15" t="s">
        <v>1414</v>
      </c>
      <c r="AG249" s="15" t="s">
        <v>592</v>
      </c>
      <c r="AH249" s="15" t="s">
        <v>55</v>
      </c>
      <c r="AI249" s="25">
        <v>45539</v>
      </c>
      <c r="AJ249" s="11" t="e">
        <f t="shared" si="6"/>
        <v>#VALUE!</v>
      </c>
      <c r="AK249" s="11" t="e">
        <f t="shared" si="7"/>
        <v>#VALUE!</v>
      </c>
      <c r="AL249" s="15" t="s">
        <v>594</v>
      </c>
      <c r="AM249" s="15" t="s">
        <v>607</v>
      </c>
      <c r="AN249" s="15" t="s">
        <v>1415</v>
      </c>
      <c r="AO249" s="15"/>
      <c r="AP249" s="26">
        <v>1138600</v>
      </c>
      <c r="AQ249" s="15" t="s">
        <v>973</v>
      </c>
    </row>
    <row r="250" spans="2:43" ht="60" hidden="1">
      <c r="B250">
        <v>8</v>
      </c>
      <c r="C250">
        <v>900196794</v>
      </c>
      <c r="D250" t="s">
        <v>1416</v>
      </c>
      <c r="E250" t="s">
        <v>1417</v>
      </c>
      <c r="F250">
        <v>900196794</v>
      </c>
      <c r="G250" t="s">
        <v>1417</v>
      </c>
      <c r="H250" t="s">
        <v>1418</v>
      </c>
      <c r="I250" t="s">
        <v>96</v>
      </c>
      <c r="J250" t="s">
        <v>47</v>
      </c>
      <c r="K250" t="s">
        <v>48</v>
      </c>
      <c r="L250">
        <v>40</v>
      </c>
      <c r="M250">
        <v>38</v>
      </c>
      <c r="N250">
        <v>38</v>
      </c>
      <c r="O250" t="s">
        <v>48</v>
      </c>
      <c r="P250" t="s">
        <v>97</v>
      </c>
      <c r="Q250" t="s">
        <v>1419</v>
      </c>
      <c r="R250">
        <v>2024</v>
      </c>
      <c r="S250" t="s">
        <v>65</v>
      </c>
      <c r="T250" t="s">
        <v>293</v>
      </c>
      <c r="U250" s="8">
        <v>45525.671377314815</v>
      </c>
      <c r="V250" s="2" t="s">
        <v>1420</v>
      </c>
      <c r="X250" t="s">
        <v>55</v>
      </c>
      <c r="Y250" t="s">
        <v>56</v>
      </c>
      <c r="Z250" t="s">
        <v>807</v>
      </c>
      <c r="AA250">
        <v>8837326</v>
      </c>
      <c r="AB250" t="s">
        <v>1421</v>
      </c>
      <c r="AC250">
        <v>2</v>
      </c>
      <c r="AJ250" s="9" t="str">
        <f t="shared" si="6"/>
        <v>Sin respuesta</v>
      </c>
      <c r="AK250" s="10" t="str">
        <f t="shared" si="7"/>
        <v>Sin respuesta</v>
      </c>
      <c r="AP250"/>
    </row>
    <row r="251" spans="2:43" ht="60" hidden="1">
      <c r="B251">
        <v>8</v>
      </c>
      <c r="C251">
        <v>800255589</v>
      </c>
      <c r="D251" t="s">
        <v>493</v>
      </c>
      <c r="E251" t="s">
        <v>493</v>
      </c>
      <c r="F251">
        <v>800255589</v>
      </c>
      <c r="G251" t="s">
        <v>493</v>
      </c>
      <c r="H251" t="s">
        <v>494</v>
      </c>
      <c r="I251" t="s">
        <v>197</v>
      </c>
      <c r="J251" t="s">
        <v>47</v>
      </c>
      <c r="K251" t="s">
        <v>48</v>
      </c>
      <c r="L251">
        <v>39</v>
      </c>
      <c r="M251">
        <v>38</v>
      </c>
      <c r="N251">
        <v>37</v>
      </c>
      <c r="O251" t="s">
        <v>48</v>
      </c>
      <c r="P251" t="s">
        <v>198</v>
      </c>
      <c r="Q251" t="s">
        <v>1422</v>
      </c>
      <c r="R251">
        <v>2024</v>
      </c>
      <c r="S251" t="s">
        <v>65</v>
      </c>
      <c r="T251" t="s">
        <v>293</v>
      </c>
      <c r="U251" s="8">
        <v>45526.618645833332</v>
      </c>
      <c r="V251" s="2" t="s">
        <v>1423</v>
      </c>
      <c r="X251" t="s">
        <v>55</v>
      </c>
      <c r="Y251" t="s">
        <v>56</v>
      </c>
      <c r="Z251" t="s">
        <v>807</v>
      </c>
      <c r="AA251">
        <v>4216883</v>
      </c>
      <c r="AB251" t="s">
        <v>497</v>
      </c>
      <c r="AC251">
        <v>2</v>
      </c>
      <c r="AF251" s="15" t="s">
        <v>1414</v>
      </c>
      <c r="AG251" s="15" t="s">
        <v>592</v>
      </c>
      <c r="AH251" s="15" t="s">
        <v>55</v>
      </c>
      <c r="AI251" s="25">
        <v>45539</v>
      </c>
      <c r="AJ251" s="11" t="e">
        <f t="shared" si="6"/>
        <v>#VALUE!</v>
      </c>
      <c r="AK251" s="11" t="e">
        <f t="shared" si="7"/>
        <v>#VALUE!</v>
      </c>
      <c r="AL251" s="15" t="s">
        <v>594</v>
      </c>
      <c r="AM251" s="15" t="s">
        <v>607</v>
      </c>
      <c r="AN251" s="15" t="s">
        <v>1415</v>
      </c>
      <c r="AO251" s="15"/>
      <c r="AP251" s="26">
        <v>1138600</v>
      </c>
      <c r="AQ251" s="15" t="s">
        <v>973</v>
      </c>
    </row>
    <row r="252" spans="2:43" ht="60" hidden="1">
      <c r="B252">
        <v>8</v>
      </c>
      <c r="C252">
        <v>901093078</v>
      </c>
      <c r="D252" s="24" t="s">
        <v>80</v>
      </c>
      <c r="E252" t="s">
        <v>81</v>
      </c>
      <c r="F252">
        <v>901093078</v>
      </c>
      <c r="G252" t="s">
        <v>81</v>
      </c>
      <c r="H252" t="s">
        <v>83</v>
      </c>
      <c r="I252" t="s">
        <v>84</v>
      </c>
      <c r="J252" t="s">
        <v>114</v>
      </c>
      <c r="K252" t="s">
        <v>48</v>
      </c>
      <c r="L252">
        <v>38</v>
      </c>
      <c r="M252">
        <v>13</v>
      </c>
      <c r="N252">
        <v>36</v>
      </c>
      <c r="O252" t="s">
        <v>436</v>
      </c>
      <c r="P252" t="s">
        <v>85</v>
      </c>
      <c r="Q252" t="s">
        <v>1424</v>
      </c>
      <c r="R252">
        <v>2024</v>
      </c>
      <c r="S252" t="s">
        <v>124</v>
      </c>
      <c r="T252" t="s">
        <v>313</v>
      </c>
      <c r="U252" s="8">
        <v>45527.404629629629</v>
      </c>
      <c r="V252" s="2" t="s">
        <v>1425</v>
      </c>
      <c r="W252" s="2"/>
      <c r="X252" t="s">
        <v>55</v>
      </c>
      <c r="Y252" t="s">
        <v>56</v>
      </c>
      <c r="Z252" t="s">
        <v>807</v>
      </c>
      <c r="AA252">
        <v>7361166</v>
      </c>
      <c r="AB252" t="s">
        <v>90</v>
      </c>
      <c r="AC252">
        <v>7</v>
      </c>
      <c r="AD252" s="14" t="s">
        <v>439</v>
      </c>
      <c r="AE252" s="15"/>
      <c r="AF252" s="15" t="s">
        <v>1426</v>
      </c>
      <c r="AG252" s="15" t="s">
        <v>592</v>
      </c>
      <c r="AH252" s="15" t="s">
        <v>55</v>
      </c>
      <c r="AI252" s="25">
        <v>45552</v>
      </c>
      <c r="AJ252" s="11" t="e">
        <f t="shared" si="6"/>
        <v>#VALUE!</v>
      </c>
      <c r="AK252" s="11" t="e">
        <f t="shared" si="7"/>
        <v>#VALUE!</v>
      </c>
      <c r="AL252" s="15" t="s">
        <v>594</v>
      </c>
      <c r="AM252" s="15" t="s">
        <v>595</v>
      </c>
      <c r="AN252" s="15" t="s">
        <v>608</v>
      </c>
      <c r="AO252" s="15" t="s">
        <v>1427</v>
      </c>
      <c r="AP252" s="26">
        <v>788584</v>
      </c>
      <c r="AQ252" s="15" t="s">
        <v>598</v>
      </c>
    </row>
    <row r="253" spans="2:43" ht="45" hidden="1">
      <c r="B253">
        <v>8</v>
      </c>
      <c r="C253">
        <v>901222151</v>
      </c>
      <c r="D253" t="s">
        <v>1371</v>
      </c>
      <c r="E253" t="s">
        <v>1372</v>
      </c>
      <c r="F253">
        <v>901222151</v>
      </c>
      <c r="G253" t="s">
        <v>1372</v>
      </c>
      <c r="H253" t="s">
        <v>1373</v>
      </c>
      <c r="I253" t="s">
        <v>601</v>
      </c>
      <c r="J253" t="s">
        <v>47</v>
      </c>
      <c r="K253" t="s">
        <v>48</v>
      </c>
      <c r="L253">
        <v>35</v>
      </c>
      <c r="M253">
        <v>31</v>
      </c>
      <c r="N253">
        <v>33</v>
      </c>
      <c r="O253" t="s">
        <v>48</v>
      </c>
      <c r="P253" t="s">
        <v>63</v>
      </c>
      <c r="Q253" t="s">
        <v>1428</v>
      </c>
      <c r="R253">
        <v>2024</v>
      </c>
      <c r="S253" t="s">
        <v>65</v>
      </c>
      <c r="T253" t="s">
        <v>293</v>
      </c>
      <c r="U253" s="8">
        <v>45530.481631944444</v>
      </c>
      <c r="V253" s="2" t="s">
        <v>1429</v>
      </c>
      <c r="X253" t="s">
        <v>55</v>
      </c>
      <c r="Y253" t="s">
        <v>56</v>
      </c>
      <c r="Z253" t="s">
        <v>807</v>
      </c>
      <c r="AA253">
        <v>3218024585</v>
      </c>
      <c r="AB253" t="s">
        <v>1376</v>
      </c>
      <c r="AC253">
        <v>2</v>
      </c>
      <c r="AJ253" s="9" t="str">
        <f t="shared" si="6"/>
        <v>Sin respuesta</v>
      </c>
      <c r="AK253" s="10" t="str">
        <f t="shared" si="7"/>
        <v>Sin respuesta</v>
      </c>
      <c r="AP253"/>
    </row>
    <row r="254" spans="2:43" ht="60" hidden="1">
      <c r="B254">
        <v>8</v>
      </c>
      <c r="C254">
        <v>901150853</v>
      </c>
      <c r="D254" t="s">
        <v>1223</v>
      </c>
      <c r="E254" t="s">
        <v>1223</v>
      </c>
      <c r="F254">
        <v>901150853</v>
      </c>
      <c r="G254" t="s">
        <v>1223</v>
      </c>
      <c r="H254" t="s">
        <v>1224</v>
      </c>
      <c r="I254" t="s">
        <v>84</v>
      </c>
      <c r="J254" t="s">
        <v>47</v>
      </c>
      <c r="K254" t="s">
        <v>48</v>
      </c>
      <c r="L254">
        <v>35</v>
      </c>
      <c r="M254">
        <v>31</v>
      </c>
      <c r="N254">
        <v>33</v>
      </c>
      <c r="O254" t="s">
        <v>49</v>
      </c>
      <c r="P254" t="s">
        <v>85</v>
      </c>
      <c r="Q254" t="s">
        <v>1430</v>
      </c>
      <c r="R254">
        <v>2024</v>
      </c>
      <c r="S254" t="s">
        <v>52</v>
      </c>
      <c r="T254" t="s">
        <v>53</v>
      </c>
      <c r="U254" s="8">
        <v>45530.599872685183</v>
      </c>
      <c r="V254" s="2" t="s">
        <v>1431</v>
      </c>
      <c r="X254" t="s">
        <v>55</v>
      </c>
      <c r="Y254" t="s">
        <v>56</v>
      </c>
      <c r="Z254" t="s">
        <v>807</v>
      </c>
      <c r="AA254">
        <v>3206886397</v>
      </c>
      <c r="AB254" t="s">
        <v>1227</v>
      </c>
      <c r="AC254">
        <v>3</v>
      </c>
      <c r="AF254" s="15" t="s">
        <v>1426</v>
      </c>
      <c r="AG254" s="15" t="s">
        <v>592</v>
      </c>
      <c r="AH254" s="15" t="s">
        <v>55</v>
      </c>
      <c r="AI254" s="25">
        <v>45552</v>
      </c>
      <c r="AJ254" s="11" t="e">
        <f t="shared" si="6"/>
        <v>#VALUE!</v>
      </c>
      <c r="AK254" s="11" t="e">
        <f t="shared" si="7"/>
        <v>#VALUE!</v>
      </c>
      <c r="AL254" s="15" t="s">
        <v>594</v>
      </c>
      <c r="AM254" s="15" t="s">
        <v>595</v>
      </c>
      <c r="AN254" s="15" t="s">
        <v>1432</v>
      </c>
      <c r="AO254" s="15" t="s">
        <v>1427</v>
      </c>
      <c r="AP254" s="26">
        <v>788584</v>
      </c>
      <c r="AQ254" s="15" t="s">
        <v>598</v>
      </c>
    </row>
    <row r="255" spans="2:43" ht="45" hidden="1">
      <c r="B255">
        <v>8</v>
      </c>
      <c r="C255">
        <v>900758571</v>
      </c>
      <c r="D255" t="s">
        <v>1433</v>
      </c>
      <c r="E255" t="s">
        <v>1434</v>
      </c>
      <c r="F255">
        <v>900758571</v>
      </c>
      <c r="G255" t="s">
        <v>1434</v>
      </c>
      <c r="H255" t="s">
        <v>1435</v>
      </c>
      <c r="I255" t="s">
        <v>113</v>
      </c>
      <c r="J255" t="s">
        <v>47</v>
      </c>
      <c r="K255" t="s">
        <v>48</v>
      </c>
      <c r="L255">
        <v>35</v>
      </c>
      <c r="M255">
        <v>25</v>
      </c>
      <c r="N255">
        <v>33</v>
      </c>
      <c r="O255" t="s">
        <v>49</v>
      </c>
      <c r="P255" t="s">
        <v>63</v>
      </c>
      <c r="Q255" t="s">
        <v>1436</v>
      </c>
      <c r="R255">
        <v>2024</v>
      </c>
      <c r="S255" t="s">
        <v>124</v>
      </c>
      <c r="T255" t="s">
        <v>1099</v>
      </c>
      <c r="U255" s="8">
        <v>45530.655057870368</v>
      </c>
      <c r="V255" s="2" t="s">
        <v>1437</v>
      </c>
      <c r="X255" t="s">
        <v>55</v>
      </c>
      <c r="Y255" t="s">
        <v>56</v>
      </c>
      <c r="Z255" t="s">
        <v>807</v>
      </c>
      <c r="AA255">
        <v>8595645</v>
      </c>
      <c r="AB255" t="s">
        <v>1438</v>
      </c>
      <c r="AC255">
        <v>3</v>
      </c>
      <c r="AJ255" s="9" t="str">
        <f t="shared" si="6"/>
        <v>Sin respuesta</v>
      </c>
      <c r="AK255" s="10" t="str">
        <f t="shared" si="7"/>
        <v>Sin respuesta</v>
      </c>
      <c r="AP255"/>
    </row>
    <row r="256" spans="2:43" ht="45" hidden="1">
      <c r="B256">
        <v>8</v>
      </c>
      <c r="C256">
        <v>900028263</v>
      </c>
      <c r="D256" s="24" t="s">
        <v>940</v>
      </c>
      <c r="E256" t="s">
        <v>941</v>
      </c>
      <c r="F256">
        <v>900028263</v>
      </c>
      <c r="G256" t="s">
        <v>942</v>
      </c>
      <c r="H256" t="s">
        <v>943</v>
      </c>
      <c r="I256" t="s">
        <v>402</v>
      </c>
      <c r="J256" t="s">
        <v>114</v>
      </c>
      <c r="K256" t="s">
        <v>48</v>
      </c>
      <c r="L256">
        <v>34</v>
      </c>
      <c r="M256">
        <v>12</v>
      </c>
      <c r="N256">
        <v>32</v>
      </c>
      <c r="O256" t="s">
        <v>436</v>
      </c>
      <c r="P256" t="s">
        <v>63</v>
      </c>
      <c r="Q256" t="s">
        <v>1439</v>
      </c>
      <c r="R256">
        <v>2024</v>
      </c>
      <c r="S256" t="s">
        <v>124</v>
      </c>
      <c r="T256" t="s">
        <v>284</v>
      </c>
      <c r="U256" s="8">
        <v>45531.374502314815</v>
      </c>
      <c r="V256" s="2" t="s">
        <v>1440</v>
      </c>
      <c r="W256" s="2"/>
      <c r="X256" t="s">
        <v>55</v>
      </c>
      <c r="Y256" t="s">
        <v>56</v>
      </c>
      <c r="Z256" t="s">
        <v>807</v>
      </c>
      <c r="AA256">
        <v>6040062</v>
      </c>
      <c r="AB256" t="s">
        <v>946</v>
      </c>
      <c r="AC256">
        <v>7</v>
      </c>
      <c r="AD256" s="14" t="s">
        <v>589</v>
      </c>
      <c r="AE256" t="s">
        <v>1441</v>
      </c>
      <c r="AF256" s="15" t="s">
        <v>1442</v>
      </c>
      <c r="AG256" s="15" t="s">
        <v>592</v>
      </c>
      <c r="AH256" s="15" t="s">
        <v>55</v>
      </c>
      <c r="AI256" s="25">
        <v>45553</v>
      </c>
      <c r="AJ256" s="11" t="e">
        <f t="shared" si="6"/>
        <v>#VALUE!</v>
      </c>
      <c r="AK256" s="11" t="e">
        <f t="shared" si="7"/>
        <v>#VALUE!</v>
      </c>
      <c r="AL256" s="15" t="s">
        <v>594</v>
      </c>
      <c r="AM256" s="15" t="s">
        <v>607</v>
      </c>
      <c r="AN256" s="15" t="s">
        <v>1443</v>
      </c>
      <c r="AO256" s="15" t="s">
        <v>1444</v>
      </c>
      <c r="AP256" s="27">
        <v>761350</v>
      </c>
      <c r="AQ256" s="15" t="s">
        <v>973</v>
      </c>
    </row>
    <row r="257" spans="2:43" ht="45" hidden="1">
      <c r="B257">
        <v>8</v>
      </c>
      <c r="C257">
        <v>901095800</v>
      </c>
      <c r="D257" t="s">
        <v>1445</v>
      </c>
      <c r="E257" t="s">
        <v>1446</v>
      </c>
      <c r="F257">
        <v>901095800</v>
      </c>
      <c r="G257" t="s">
        <v>1446</v>
      </c>
      <c r="H257" t="s">
        <v>1447</v>
      </c>
      <c r="I257" t="s">
        <v>601</v>
      </c>
      <c r="J257" t="s">
        <v>47</v>
      </c>
      <c r="K257" t="s">
        <v>48</v>
      </c>
      <c r="L257">
        <v>34</v>
      </c>
      <c r="M257">
        <v>31</v>
      </c>
      <c r="N257">
        <v>32</v>
      </c>
      <c r="O257" t="s">
        <v>48</v>
      </c>
      <c r="P257" t="s">
        <v>63</v>
      </c>
      <c r="Q257" t="s">
        <v>1448</v>
      </c>
      <c r="R257">
        <v>2024</v>
      </c>
      <c r="S257" t="s">
        <v>65</v>
      </c>
      <c r="T257" t="s">
        <v>293</v>
      </c>
      <c r="U257" s="8">
        <v>45531.392731481479</v>
      </c>
      <c r="V257" s="2" t="s">
        <v>1449</v>
      </c>
      <c r="X257" t="s">
        <v>55</v>
      </c>
      <c r="Y257" t="s">
        <v>56</v>
      </c>
      <c r="Z257" t="s">
        <v>807</v>
      </c>
      <c r="AA257">
        <v>2742728</v>
      </c>
      <c r="AB257" t="s">
        <v>1450</v>
      </c>
      <c r="AC257">
        <v>2</v>
      </c>
      <c r="AJ257" s="9" t="str">
        <f t="shared" si="6"/>
        <v>Sin respuesta</v>
      </c>
      <c r="AK257" s="10" t="str">
        <f t="shared" si="7"/>
        <v>Sin respuesta</v>
      </c>
      <c r="AP257"/>
    </row>
    <row r="258" spans="2:43" ht="45" hidden="1">
      <c r="B258">
        <v>8</v>
      </c>
      <c r="C258">
        <v>890333023</v>
      </c>
      <c r="D258" t="s">
        <v>716</v>
      </c>
      <c r="E258" t="s">
        <v>717</v>
      </c>
      <c r="F258">
        <v>890333023</v>
      </c>
      <c r="G258" t="s">
        <v>717</v>
      </c>
      <c r="H258" t="s">
        <v>719</v>
      </c>
      <c r="I258" t="s">
        <v>720</v>
      </c>
      <c r="J258" t="s">
        <v>47</v>
      </c>
      <c r="K258" t="s">
        <v>48</v>
      </c>
      <c r="L258">
        <v>34</v>
      </c>
      <c r="M258">
        <v>31</v>
      </c>
      <c r="N258">
        <v>32</v>
      </c>
      <c r="O258" t="s">
        <v>49</v>
      </c>
      <c r="P258" t="s">
        <v>97</v>
      </c>
      <c r="Q258" t="s">
        <v>1451</v>
      </c>
      <c r="R258">
        <v>2024</v>
      </c>
      <c r="S258" t="s">
        <v>65</v>
      </c>
      <c r="T258" t="s">
        <v>125</v>
      </c>
      <c r="U258" s="8">
        <v>45531.443726851852</v>
      </c>
      <c r="V258" s="2" t="s">
        <v>1452</v>
      </c>
      <c r="X258" t="s">
        <v>55</v>
      </c>
      <c r="Y258" t="s">
        <v>56</v>
      </c>
      <c r="Z258" t="s">
        <v>807</v>
      </c>
      <c r="AA258">
        <v>6644717</v>
      </c>
      <c r="AB258" t="s">
        <v>723</v>
      </c>
      <c r="AC258">
        <v>3</v>
      </c>
      <c r="AF258" s="15" t="s">
        <v>1442</v>
      </c>
      <c r="AG258" s="15" t="s">
        <v>592</v>
      </c>
      <c r="AH258" s="15" t="s">
        <v>55</v>
      </c>
      <c r="AI258" s="25">
        <v>45553</v>
      </c>
      <c r="AJ258" s="11" t="e">
        <f t="shared" si="6"/>
        <v>#VALUE!</v>
      </c>
      <c r="AK258" s="11" t="e">
        <f t="shared" si="7"/>
        <v>#VALUE!</v>
      </c>
      <c r="AL258" s="15" t="s">
        <v>594</v>
      </c>
      <c r="AM258" s="15" t="s">
        <v>607</v>
      </c>
      <c r="AN258" s="15" t="s">
        <v>1443</v>
      </c>
      <c r="AO258" s="15" t="s">
        <v>1444</v>
      </c>
      <c r="AP258" s="27">
        <v>761350</v>
      </c>
      <c r="AQ258" s="15" t="s">
        <v>973</v>
      </c>
    </row>
    <row r="259" spans="2:43" ht="105" hidden="1">
      <c r="B259">
        <v>8</v>
      </c>
      <c r="C259">
        <v>91528865</v>
      </c>
      <c r="D259" s="24" t="s">
        <v>1453</v>
      </c>
      <c r="E259" t="s">
        <v>1454</v>
      </c>
      <c r="F259">
        <v>91528865</v>
      </c>
      <c r="G259" t="s">
        <v>1454</v>
      </c>
      <c r="J259" t="s">
        <v>114</v>
      </c>
      <c r="K259" t="s">
        <v>48</v>
      </c>
      <c r="L259">
        <v>34</v>
      </c>
      <c r="M259">
        <v>5</v>
      </c>
      <c r="N259">
        <v>32</v>
      </c>
      <c r="O259" t="s">
        <v>62</v>
      </c>
      <c r="P259" t="s">
        <v>900</v>
      </c>
      <c r="Q259" t="s">
        <v>1455</v>
      </c>
      <c r="R259">
        <v>2024</v>
      </c>
      <c r="S259" t="s">
        <v>124</v>
      </c>
      <c r="T259" t="s">
        <v>284</v>
      </c>
      <c r="U259" s="8">
        <v>45531.674155092594</v>
      </c>
      <c r="V259" s="2" t="s">
        <v>1456</v>
      </c>
      <c r="W259" s="2"/>
      <c r="X259" t="s">
        <v>55</v>
      </c>
      <c r="Y259" t="s">
        <v>56</v>
      </c>
      <c r="Z259" t="s">
        <v>807</v>
      </c>
      <c r="AA259">
        <v>5624913</v>
      </c>
      <c r="AB259" t="s">
        <v>1457</v>
      </c>
      <c r="AC259">
        <v>6</v>
      </c>
      <c r="AD259" s="2" t="s">
        <v>91</v>
      </c>
      <c r="AF259" s="15" t="s">
        <v>1360</v>
      </c>
      <c r="AG259" s="15" t="s">
        <v>592</v>
      </c>
      <c r="AH259" s="15" t="s">
        <v>55</v>
      </c>
      <c r="AI259" s="25">
        <v>45546</v>
      </c>
      <c r="AJ259" s="11" t="e">
        <f t="shared" ref="AJ259:AJ289" si="8">IF(AI259="","Sin respuesta",NETWORKDAYS.INTL(X259,AI259,1))</f>
        <v>#VALUE!</v>
      </c>
      <c r="AK259" s="11" t="e">
        <f t="shared" ref="AK259:AK289" si="9">IF(AJ259="Sin respuesta","Sin respuesta",IF(AJ259&lt;10,"SÏ","No"))</f>
        <v>#VALUE!</v>
      </c>
      <c r="AL259" s="15" t="s">
        <v>1194</v>
      </c>
      <c r="AM259" s="15" t="s">
        <v>595</v>
      </c>
      <c r="AN259" s="15" t="s">
        <v>1361</v>
      </c>
      <c r="AO259" s="15" t="s">
        <v>1458</v>
      </c>
      <c r="AP259" s="26">
        <v>265277</v>
      </c>
      <c r="AQ259" s="15" t="s">
        <v>1459</v>
      </c>
    </row>
    <row r="260" spans="2:43" ht="75" hidden="1">
      <c r="B260">
        <v>8</v>
      </c>
      <c r="C260">
        <v>890910715</v>
      </c>
      <c r="D260" t="s">
        <v>1460</v>
      </c>
      <c r="E260" t="s">
        <v>1460</v>
      </c>
      <c r="F260">
        <v>890910715</v>
      </c>
      <c r="G260" t="s">
        <v>1460</v>
      </c>
      <c r="H260" t="s">
        <v>1461</v>
      </c>
      <c r="I260" t="s">
        <v>211</v>
      </c>
      <c r="J260" t="s">
        <v>47</v>
      </c>
      <c r="K260" t="s">
        <v>48</v>
      </c>
      <c r="L260">
        <v>33</v>
      </c>
      <c r="M260">
        <v>31</v>
      </c>
      <c r="N260">
        <v>31</v>
      </c>
      <c r="O260" t="s">
        <v>48</v>
      </c>
      <c r="P260" t="s">
        <v>63</v>
      </c>
      <c r="Q260" t="s">
        <v>1462</v>
      </c>
      <c r="R260">
        <v>2024</v>
      </c>
      <c r="S260" t="s">
        <v>65</v>
      </c>
      <c r="T260" t="s">
        <v>293</v>
      </c>
      <c r="U260" s="8">
        <v>45532.484490740739</v>
      </c>
      <c r="V260" s="2" t="s">
        <v>1463</v>
      </c>
      <c r="X260" t="s">
        <v>55</v>
      </c>
      <c r="Y260" t="s">
        <v>56</v>
      </c>
      <c r="Z260" t="s">
        <v>807</v>
      </c>
      <c r="AA260">
        <v>4440616</v>
      </c>
      <c r="AB260" t="s">
        <v>1464</v>
      </c>
      <c r="AC260">
        <v>2</v>
      </c>
      <c r="AJ260" s="9" t="str">
        <f t="shared" si="8"/>
        <v>Sin respuesta</v>
      </c>
      <c r="AK260" s="10" t="str">
        <f t="shared" si="9"/>
        <v>Sin respuesta</v>
      </c>
      <c r="AP260"/>
    </row>
    <row r="261" spans="2:43" ht="45" hidden="1">
      <c r="B261">
        <v>8</v>
      </c>
      <c r="C261">
        <v>890912995</v>
      </c>
      <c r="D261" t="s">
        <v>269</v>
      </c>
      <c r="E261" t="s">
        <v>269</v>
      </c>
      <c r="F261">
        <v>890912995</v>
      </c>
      <c r="G261" t="s">
        <v>269</v>
      </c>
      <c r="H261" t="s">
        <v>270</v>
      </c>
      <c r="I261" t="s">
        <v>211</v>
      </c>
      <c r="J261" t="s">
        <v>47</v>
      </c>
      <c r="K261" t="s">
        <v>48</v>
      </c>
      <c r="L261">
        <v>33</v>
      </c>
      <c r="M261">
        <v>31</v>
      </c>
      <c r="N261">
        <v>31</v>
      </c>
      <c r="O261" t="s">
        <v>49</v>
      </c>
      <c r="P261" t="s">
        <v>63</v>
      </c>
      <c r="Q261" t="s">
        <v>1465</v>
      </c>
      <c r="R261">
        <v>2024</v>
      </c>
      <c r="S261" t="s">
        <v>52</v>
      </c>
      <c r="T261" t="s">
        <v>53</v>
      </c>
      <c r="U261" s="8">
        <v>45532.693773148145</v>
      </c>
      <c r="V261" s="2" t="s">
        <v>1466</v>
      </c>
      <c r="X261" t="s">
        <v>55</v>
      </c>
      <c r="Y261" t="s">
        <v>56</v>
      </c>
      <c r="Z261" t="s">
        <v>807</v>
      </c>
      <c r="AA261">
        <v>3220084</v>
      </c>
      <c r="AB261" t="s">
        <v>274</v>
      </c>
      <c r="AC261">
        <v>3</v>
      </c>
      <c r="AF261" s="20" t="s">
        <v>1360</v>
      </c>
      <c r="AG261" s="15" t="s">
        <v>592</v>
      </c>
      <c r="AH261" s="15" t="s">
        <v>1252</v>
      </c>
      <c r="AI261" s="25">
        <v>45546</v>
      </c>
      <c r="AJ261" s="11" t="e">
        <f t="shared" si="8"/>
        <v>#VALUE!</v>
      </c>
      <c r="AK261" s="11" t="e">
        <f t="shared" si="9"/>
        <v>#VALUE!</v>
      </c>
      <c r="AL261" s="15" t="s">
        <v>1194</v>
      </c>
      <c r="AM261" s="15" t="s">
        <v>595</v>
      </c>
      <c r="AN261" s="15" t="s">
        <v>1361</v>
      </c>
      <c r="AO261" s="15" t="s">
        <v>1458</v>
      </c>
      <c r="AP261" s="26">
        <v>265277</v>
      </c>
      <c r="AQ261" s="15" t="s">
        <v>1459</v>
      </c>
    </row>
    <row r="262" spans="2:43" ht="45" hidden="1">
      <c r="B262">
        <v>8</v>
      </c>
      <c r="C262">
        <v>8015154</v>
      </c>
      <c r="D262" t="s">
        <v>1467</v>
      </c>
      <c r="E262" t="s">
        <v>1468</v>
      </c>
      <c r="F262">
        <v>8015154</v>
      </c>
      <c r="G262" t="s">
        <v>1468</v>
      </c>
      <c r="H262" t="s">
        <v>1469</v>
      </c>
      <c r="I262" t="s">
        <v>958</v>
      </c>
      <c r="J262" t="s">
        <v>47</v>
      </c>
      <c r="K262" t="s">
        <v>48</v>
      </c>
      <c r="L262">
        <v>32</v>
      </c>
      <c r="M262">
        <v>25</v>
      </c>
      <c r="N262">
        <v>30</v>
      </c>
      <c r="O262" t="s">
        <v>49</v>
      </c>
      <c r="P262" t="s">
        <v>63</v>
      </c>
      <c r="Q262" t="s">
        <v>1470</v>
      </c>
      <c r="R262">
        <v>2024</v>
      </c>
      <c r="S262" t="s">
        <v>124</v>
      </c>
      <c r="T262" t="s">
        <v>1099</v>
      </c>
      <c r="U262" s="8">
        <v>45533.397164351853</v>
      </c>
      <c r="V262" s="2" t="s">
        <v>1471</v>
      </c>
      <c r="X262" t="s">
        <v>55</v>
      </c>
      <c r="Y262" t="s">
        <v>56</v>
      </c>
      <c r="Z262" t="s">
        <v>807</v>
      </c>
      <c r="AA262">
        <v>6048300527</v>
      </c>
      <c r="AB262" t="s">
        <v>1472</v>
      </c>
      <c r="AC262">
        <v>3</v>
      </c>
      <c r="AJ262" s="9" t="str">
        <f t="shared" si="8"/>
        <v>Sin respuesta</v>
      </c>
      <c r="AK262" s="10" t="str">
        <f t="shared" si="9"/>
        <v>Sin respuesta</v>
      </c>
      <c r="AP262"/>
    </row>
    <row r="263" spans="2:43" ht="45" hidden="1">
      <c r="B263">
        <v>8</v>
      </c>
      <c r="C263">
        <v>98565015</v>
      </c>
      <c r="D263" t="s">
        <v>1473</v>
      </c>
      <c r="E263" t="s">
        <v>1474</v>
      </c>
      <c r="F263">
        <v>98565015</v>
      </c>
      <c r="G263" t="s">
        <v>1474</v>
      </c>
      <c r="H263" t="s">
        <v>1475</v>
      </c>
      <c r="I263" t="s">
        <v>1476</v>
      </c>
      <c r="J263" t="s">
        <v>47</v>
      </c>
      <c r="K263" t="s">
        <v>48</v>
      </c>
      <c r="L263">
        <v>32</v>
      </c>
      <c r="M263">
        <v>25</v>
      </c>
      <c r="N263">
        <v>30</v>
      </c>
      <c r="O263" t="s">
        <v>49</v>
      </c>
      <c r="P263" t="s">
        <v>63</v>
      </c>
      <c r="Q263" t="s">
        <v>1477</v>
      </c>
      <c r="R263">
        <v>2024</v>
      </c>
      <c r="S263" t="s">
        <v>124</v>
      </c>
      <c r="T263" t="s">
        <v>1099</v>
      </c>
      <c r="U263" s="8">
        <v>45533.403229166666</v>
      </c>
      <c r="V263" s="2" t="s">
        <v>1478</v>
      </c>
      <c r="X263" t="s">
        <v>55</v>
      </c>
      <c r="Y263" t="s">
        <v>56</v>
      </c>
      <c r="Z263" t="s">
        <v>807</v>
      </c>
      <c r="AA263">
        <v>3116100003</v>
      </c>
      <c r="AB263" t="s">
        <v>1479</v>
      </c>
      <c r="AC263">
        <v>3</v>
      </c>
      <c r="AJ263" s="9" t="str">
        <f t="shared" si="8"/>
        <v>Sin respuesta</v>
      </c>
      <c r="AK263" s="10" t="str">
        <f t="shared" si="9"/>
        <v>Sin respuesta</v>
      </c>
      <c r="AP263"/>
    </row>
    <row r="264" spans="2:43" ht="75" hidden="1">
      <c r="B264">
        <v>8</v>
      </c>
      <c r="C264">
        <v>901262650</v>
      </c>
      <c r="D264" t="s">
        <v>1480</v>
      </c>
      <c r="E264" t="s">
        <v>1480</v>
      </c>
      <c r="F264">
        <v>901262650</v>
      </c>
      <c r="G264" t="s">
        <v>1480</v>
      </c>
      <c r="H264" t="s">
        <v>1481</v>
      </c>
      <c r="I264" t="s">
        <v>1482</v>
      </c>
      <c r="J264" t="s">
        <v>47</v>
      </c>
      <c r="K264" t="s">
        <v>48</v>
      </c>
      <c r="L264">
        <v>32</v>
      </c>
      <c r="M264">
        <v>25</v>
      </c>
      <c r="N264">
        <v>30</v>
      </c>
      <c r="O264" t="s">
        <v>48</v>
      </c>
      <c r="P264" t="s">
        <v>612</v>
      </c>
      <c r="Q264" t="s">
        <v>1483</v>
      </c>
      <c r="R264">
        <v>2024</v>
      </c>
      <c r="S264" t="s">
        <v>52</v>
      </c>
      <c r="T264" t="s">
        <v>1036</v>
      </c>
      <c r="U264" s="8">
        <v>45533.515300925923</v>
      </c>
      <c r="V264" s="2" t="s">
        <v>1484</v>
      </c>
      <c r="X264" t="s">
        <v>55</v>
      </c>
      <c r="Y264" t="s">
        <v>56</v>
      </c>
      <c r="Z264" t="s">
        <v>807</v>
      </c>
      <c r="AA264">
        <v>4205193</v>
      </c>
      <c r="AB264" t="s">
        <v>1485</v>
      </c>
      <c r="AC264">
        <v>2</v>
      </c>
      <c r="AG264">
        <v>6048300527</v>
      </c>
      <c r="AJ264" s="9" t="str">
        <f>IF(AI264="","Sin respuesta",NETWORKDAYS.INTL(X264,AI264,1))</f>
        <v>Sin respuesta</v>
      </c>
      <c r="AK264" s="10" t="str">
        <f t="shared" si="9"/>
        <v>Sin respuesta</v>
      </c>
      <c r="AP264"/>
    </row>
    <row r="265" spans="2:43" ht="75" hidden="1">
      <c r="B265">
        <v>8</v>
      </c>
      <c r="C265">
        <v>901428576</v>
      </c>
      <c r="D265" t="s">
        <v>1486</v>
      </c>
      <c r="E265" t="s">
        <v>1486</v>
      </c>
      <c r="F265">
        <v>901428576</v>
      </c>
      <c r="G265" t="s">
        <v>1486</v>
      </c>
      <c r="H265" t="s">
        <v>1487</v>
      </c>
      <c r="I265" t="s">
        <v>211</v>
      </c>
      <c r="J265" t="s">
        <v>47</v>
      </c>
      <c r="K265" t="s">
        <v>48</v>
      </c>
      <c r="L265">
        <v>32</v>
      </c>
      <c r="M265">
        <v>26</v>
      </c>
      <c r="N265">
        <v>30</v>
      </c>
      <c r="O265" t="s">
        <v>48</v>
      </c>
      <c r="P265" t="s">
        <v>63</v>
      </c>
      <c r="Q265" t="s">
        <v>1488</v>
      </c>
      <c r="R265">
        <v>2024</v>
      </c>
      <c r="S265" t="s">
        <v>65</v>
      </c>
      <c r="T265" t="s">
        <v>334</v>
      </c>
      <c r="U265" s="8">
        <v>45533.605879629627</v>
      </c>
      <c r="V265" s="2" t="s">
        <v>1489</v>
      </c>
      <c r="X265" t="s">
        <v>55</v>
      </c>
      <c r="Y265" t="s">
        <v>56</v>
      </c>
      <c r="Z265" t="s">
        <v>807</v>
      </c>
      <c r="AA265">
        <v>5005434</v>
      </c>
      <c r="AB265" t="s">
        <v>1490</v>
      </c>
      <c r="AC265">
        <v>2</v>
      </c>
      <c r="AG265">
        <v>3116100003</v>
      </c>
      <c r="AJ265" s="9" t="str">
        <f t="shared" si="8"/>
        <v>Sin respuesta</v>
      </c>
      <c r="AK265" s="10" t="str">
        <f t="shared" si="9"/>
        <v>Sin respuesta</v>
      </c>
      <c r="AP265"/>
    </row>
    <row r="266" spans="2:43" ht="105" hidden="1">
      <c r="B266">
        <v>8</v>
      </c>
      <c r="C266">
        <v>1062315576</v>
      </c>
      <c r="D266" s="24" t="s">
        <v>1491</v>
      </c>
      <c r="E266" t="s">
        <v>1491</v>
      </c>
      <c r="F266">
        <v>1062315576</v>
      </c>
      <c r="G266" t="s">
        <v>1491</v>
      </c>
      <c r="H266" t="s">
        <v>1492</v>
      </c>
      <c r="I266" t="s">
        <v>1493</v>
      </c>
      <c r="J266" t="s">
        <v>114</v>
      </c>
      <c r="K266" t="s">
        <v>48</v>
      </c>
      <c r="L266">
        <v>31</v>
      </c>
      <c r="M266">
        <v>30</v>
      </c>
      <c r="N266">
        <v>29</v>
      </c>
      <c r="O266" t="s">
        <v>62</v>
      </c>
      <c r="P266" t="s">
        <v>131</v>
      </c>
      <c r="Q266" t="s">
        <v>1494</v>
      </c>
      <c r="R266">
        <v>2024</v>
      </c>
      <c r="S266" t="s">
        <v>124</v>
      </c>
      <c r="T266" t="s">
        <v>284</v>
      </c>
      <c r="U266" s="8">
        <v>45534.506215277775</v>
      </c>
      <c r="V266" s="2" t="s">
        <v>1495</v>
      </c>
      <c r="W266" s="2"/>
      <c r="X266" t="s">
        <v>55</v>
      </c>
      <c r="Y266" t="s">
        <v>56</v>
      </c>
      <c r="Z266" t="s">
        <v>807</v>
      </c>
      <c r="AA266">
        <v>3148532357</v>
      </c>
      <c r="AB266" t="s">
        <v>1496</v>
      </c>
      <c r="AC266">
        <v>6</v>
      </c>
      <c r="AD266" s="2" t="s">
        <v>70</v>
      </c>
      <c r="AF266" s="15" t="s">
        <v>1497</v>
      </c>
      <c r="AG266" s="15" t="s">
        <v>592</v>
      </c>
      <c r="AH266" s="15" t="s">
        <v>55</v>
      </c>
      <c r="AI266" s="25">
        <v>45535</v>
      </c>
      <c r="AJ266" s="11" t="e">
        <f t="shared" si="8"/>
        <v>#VALUE!</v>
      </c>
      <c r="AK266" s="11" t="e">
        <f t="shared" si="9"/>
        <v>#VALUE!</v>
      </c>
      <c r="AL266" s="15" t="s">
        <v>594</v>
      </c>
      <c r="AM266" s="15" t="s">
        <v>607</v>
      </c>
      <c r="AN266" s="15" t="s">
        <v>1498</v>
      </c>
      <c r="AO266" s="15" t="s">
        <v>1499</v>
      </c>
      <c r="AP266" s="28">
        <v>4600000</v>
      </c>
      <c r="AQ266" s="15" t="s">
        <v>973</v>
      </c>
    </row>
    <row r="267" spans="2:43" ht="75" hidden="1">
      <c r="B267">
        <v>8</v>
      </c>
      <c r="C267">
        <v>1062315576</v>
      </c>
      <c r="D267" s="24" t="s">
        <v>1491</v>
      </c>
      <c r="E267" t="s">
        <v>1491</v>
      </c>
      <c r="F267">
        <v>1062315576</v>
      </c>
      <c r="G267" t="s">
        <v>1491</v>
      </c>
      <c r="H267" t="s">
        <v>1492</v>
      </c>
      <c r="I267" t="s">
        <v>1493</v>
      </c>
      <c r="J267" t="s">
        <v>114</v>
      </c>
      <c r="K267" t="s">
        <v>48</v>
      </c>
      <c r="L267">
        <v>31</v>
      </c>
      <c r="M267">
        <v>30</v>
      </c>
      <c r="N267">
        <v>29</v>
      </c>
      <c r="O267" t="s">
        <v>62</v>
      </c>
      <c r="P267" t="s">
        <v>131</v>
      </c>
      <c r="Q267" t="s">
        <v>1500</v>
      </c>
      <c r="R267">
        <v>2024</v>
      </c>
      <c r="S267" t="s">
        <v>124</v>
      </c>
      <c r="T267" t="s">
        <v>284</v>
      </c>
      <c r="U267" s="8">
        <v>45534.513645833336</v>
      </c>
      <c r="V267" s="2" t="s">
        <v>1501</v>
      </c>
      <c r="W267" s="2"/>
      <c r="X267" t="s">
        <v>55</v>
      </c>
      <c r="Y267" t="s">
        <v>56</v>
      </c>
      <c r="Z267" t="s">
        <v>807</v>
      </c>
      <c r="AA267">
        <v>3148532357</v>
      </c>
      <c r="AB267" t="s">
        <v>1496</v>
      </c>
      <c r="AC267">
        <v>6</v>
      </c>
      <c r="AD267" s="2" t="s">
        <v>70</v>
      </c>
      <c r="AF267" s="15" t="s">
        <v>1497</v>
      </c>
      <c r="AG267" s="15" t="s">
        <v>592</v>
      </c>
      <c r="AH267" s="15" t="s">
        <v>55</v>
      </c>
      <c r="AI267" s="25">
        <v>45535</v>
      </c>
      <c r="AJ267" s="11" t="e">
        <f t="shared" si="8"/>
        <v>#VALUE!</v>
      </c>
      <c r="AK267" s="11" t="e">
        <f t="shared" si="9"/>
        <v>#VALUE!</v>
      </c>
      <c r="AL267" s="15" t="s">
        <v>594</v>
      </c>
      <c r="AM267" s="15" t="s">
        <v>607</v>
      </c>
      <c r="AN267" s="15" t="s">
        <v>1502</v>
      </c>
      <c r="AO267" s="15" t="s">
        <v>1499</v>
      </c>
      <c r="AP267" s="28">
        <v>6900000</v>
      </c>
      <c r="AQ267" s="15" t="s">
        <v>973</v>
      </c>
    </row>
    <row r="268" spans="2:43" ht="45" hidden="1">
      <c r="B268">
        <v>8</v>
      </c>
      <c r="C268">
        <v>64547883</v>
      </c>
      <c r="D268" t="s">
        <v>1503</v>
      </c>
      <c r="E268" t="s">
        <v>1504</v>
      </c>
      <c r="F268">
        <v>64547883</v>
      </c>
      <c r="G268" t="s">
        <v>1504</v>
      </c>
      <c r="H268" t="s">
        <v>1505</v>
      </c>
      <c r="I268" t="s">
        <v>264</v>
      </c>
      <c r="J268" t="s">
        <v>47</v>
      </c>
      <c r="K268" t="s">
        <v>48</v>
      </c>
      <c r="L268">
        <v>31</v>
      </c>
      <c r="M268">
        <v>26</v>
      </c>
      <c r="N268">
        <v>29</v>
      </c>
      <c r="O268" t="s">
        <v>49</v>
      </c>
      <c r="P268" t="s">
        <v>265</v>
      </c>
      <c r="Q268" t="s">
        <v>1506</v>
      </c>
      <c r="R268">
        <v>2024</v>
      </c>
      <c r="S268" t="s">
        <v>65</v>
      </c>
      <c r="T268" t="s">
        <v>125</v>
      </c>
      <c r="U268" s="8">
        <v>45534.517407407409</v>
      </c>
      <c r="V268" s="2" t="s">
        <v>1507</v>
      </c>
      <c r="X268" t="s">
        <v>55</v>
      </c>
      <c r="Y268" t="s">
        <v>56</v>
      </c>
      <c r="Z268" t="s">
        <v>807</v>
      </c>
      <c r="AA268">
        <v>7819312</v>
      </c>
      <c r="AB268" t="s">
        <v>1508</v>
      </c>
      <c r="AC268">
        <v>3</v>
      </c>
      <c r="AF268" s="15" t="s">
        <v>1497</v>
      </c>
      <c r="AG268" s="15" t="s">
        <v>592</v>
      </c>
      <c r="AH268" s="15" t="s">
        <v>55</v>
      </c>
      <c r="AI268" s="25">
        <v>45535</v>
      </c>
      <c r="AJ268" s="11" t="e">
        <f t="shared" si="8"/>
        <v>#VALUE!</v>
      </c>
      <c r="AK268" s="11" t="e">
        <f t="shared" si="9"/>
        <v>#VALUE!</v>
      </c>
      <c r="AL268" s="15" t="s">
        <v>594</v>
      </c>
      <c r="AM268" s="15" t="s">
        <v>607</v>
      </c>
      <c r="AN268" s="15" t="s">
        <v>1509</v>
      </c>
      <c r="AO268" s="15" t="s">
        <v>1499</v>
      </c>
      <c r="AP268" s="28">
        <v>4600000</v>
      </c>
      <c r="AQ268" s="15" t="s">
        <v>973</v>
      </c>
    </row>
    <row r="269" spans="2:43" ht="60" hidden="1">
      <c r="B269">
        <v>8</v>
      </c>
      <c r="C269">
        <v>890932473</v>
      </c>
      <c r="D269" t="s">
        <v>1510</v>
      </c>
      <c r="E269" t="s">
        <v>1511</v>
      </c>
      <c r="F269">
        <v>890932473</v>
      </c>
      <c r="G269" t="s">
        <v>1511</v>
      </c>
      <c r="H269" t="s">
        <v>1512</v>
      </c>
      <c r="I269" t="s">
        <v>211</v>
      </c>
      <c r="J269" t="s">
        <v>47</v>
      </c>
      <c r="K269" t="s">
        <v>48</v>
      </c>
      <c r="L269">
        <v>31</v>
      </c>
      <c r="M269">
        <v>24</v>
      </c>
      <c r="N269">
        <v>29</v>
      </c>
      <c r="O269" t="s">
        <v>48</v>
      </c>
      <c r="P269" t="s">
        <v>63</v>
      </c>
      <c r="Q269" t="s">
        <v>1513</v>
      </c>
      <c r="R269">
        <v>2024</v>
      </c>
      <c r="S269" t="s">
        <v>65</v>
      </c>
      <c r="T269" t="s">
        <v>293</v>
      </c>
      <c r="U269" s="8">
        <v>45534.536030092589</v>
      </c>
      <c r="V269" s="2" t="s">
        <v>1514</v>
      </c>
      <c r="X269" t="s">
        <v>55</v>
      </c>
      <c r="Y269" t="s">
        <v>56</v>
      </c>
      <c r="Z269" t="s">
        <v>807</v>
      </c>
      <c r="AA269">
        <v>2658382</v>
      </c>
      <c r="AB269" t="s">
        <v>1515</v>
      </c>
      <c r="AC269">
        <v>2</v>
      </c>
      <c r="AF269" s="15" t="s">
        <v>1497</v>
      </c>
      <c r="AG269" s="15" t="s">
        <v>592</v>
      </c>
      <c r="AH269" s="15" t="s">
        <v>55</v>
      </c>
      <c r="AI269" s="25">
        <v>45535</v>
      </c>
      <c r="AJ269" s="11" t="e">
        <f t="shared" si="8"/>
        <v>#VALUE!</v>
      </c>
      <c r="AK269" s="11" t="e">
        <f t="shared" si="9"/>
        <v>#VALUE!</v>
      </c>
      <c r="AL269" s="15" t="s">
        <v>594</v>
      </c>
      <c r="AM269" s="15" t="s">
        <v>607</v>
      </c>
      <c r="AN269" s="15" t="s">
        <v>1498</v>
      </c>
      <c r="AO269" s="15" t="s">
        <v>1499</v>
      </c>
      <c r="AP269" s="28">
        <v>6900000</v>
      </c>
      <c r="AQ269" s="15" t="s">
        <v>973</v>
      </c>
    </row>
    <row r="270" spans="2:43" ht="45" hidden="1">
      <c r="B270">
        <v>8</v>
      </c>
      <c r="C270">
        <v>901285404</v>
      </c>
      <c r="D270" t="s">
        <v>1516</v>
      </c>
      <c r="E270" t="s">
        <v>1516</v>
      </c>
      <c r="F270">
        <v>901285404</v>
      </c>
      <c r="G270" t="s">
        <v>1516</v>
      </c>
      <c r="H270" t="s">
        <v>1517</v>
      </c>
      <c r="I270" t="s">
        <v>1518</v>
      </c>
      <c r="J270" t="s">
        <v>114</v>
      </c>
      <c r="K270" t="s">
        <v>48</v>
      </c>
      <c r="L270">
        <v>31</v>
      </c>
      <c r="M270">
        <v>25</v>
      </c>
      <c r="N270">
        <v>29</v>
      </c>
      <c r="O270" t="s">
        <v>49</v>
      </c>
      <c r="P270" t="s">
        <v>265</v>
      </c>
      <c r="Q270" t="s">
        <v>1519</v>
      </c>
      <c r="R270">
        <v>2024</v>
      </c>
      <c r="S270" t="s">
        <v>52</v>
      </c>
      <c r="T270" t="s">
        <v>116</v>
      </c>
      <c r="U270" s="8">
        <v>45534.608854166669</v>
      </c>
      <c r="V270" s="2" t="s">
        <v>1520</v>
      </c>
      <c r="X270" t="s">
        <v>55</v>
      </c>
      <c r="Y270" t="s">
        <v>56</v>
      </c>
      <c r="Z270" t="s">
        <v>807</v>
      </c>
      <c r="AA270">
        <v>7687778</v>
      </c>
      <c r="AB270" t="s">
        <v>1521</v>
      </c>
      <c r="AC270">
        <v>3</v>
      </c>
      <c r="AG270">
        <v>7819312</v>
      </c>
      <c r="AJ270" s="9" t="str">
        <f t="shared" si="8"/>
        <v>Sin respuesta</v>
      </c>
      <c r="AK270" s="10" t="str">
        <f t="shared" si="9"/>
        <v>Sin respuesta</v>
      </c>
      <c r="AP270"/>
    </row>
    <row r="271" spans="2:43" ht="31.5" hidden="1" customHeight="1">
      <c r="B271">
        <v>8</v>
      </c>
      <c r="C271">
        <v>43141101</v>
      </c>
      <c r="D271" s="24" t="s">
        <v>869</v>
      </c>
      <c r="E271" t="s">
        <v>869</v>
      </c>
      <c r="F271">
        <v>43141101</v>
      </c>
      <c r="G271" t="s">
        <v>869</v>
      </c>
      <c r="H271" t="s">
        <v>870</v>
      </c>
      <c r="I271" t="s">
        <v>871</v>
      </c>
      <c r="J271" t="s">
        <v>114</v>
      </c>
      <c r="K271" t="s">
        <v>49</v>
      </c>
      <c r="L271">
        <v>31</v>
      </c>
      <c r="M271">
        <v>17</v>
      </c>
      <c r="N271">
        <v>29</v>
      </c>
      <c r="O271" t="s">
        <v>62</v>
      </c>
      <c r="P271" t="s">
        <v>349</v>
      </c>
      <c r="Q271" t="s">
        <v>1522</v>
      </c>
      <c r="R271">
        <v>2024</v>
      </c>
      <c r="S271" t="s">
        <v>124</v>
      </c>
      <c r="T271" t="s">
        <v>284</v>
      </c>
      <c r="U271" s="8">
        <v>45534.612164351849</v>
      </c>
      <c r="V271" s="2" t="s">
        <v>1523</v>
      </c>
      <c r="W271" s="2"/>
      <c r="X271" t="s">
        <v>1354</v>
      </c>
      <c r="Z271" t="s">
        <v>807</v>
      </c>
      <c r="AA271">
        <v>3188679821</v>
      </c>
      <c r="AB271" t="s">
        <v>874</v>
      </c>
      <c r="AC271">
        <v>6</v>
      </c>
      <c r="AD271" s="2" t="s">
        <v>70</v>
      </c>
      <c r="AF271" s="15" t="s">
        <v>1524</v>
      </c>
      <c r="AG271" s="15" t="s">
        <v>592</v>
      </c>
      <c r="AH271" s="15" t="s">
        <v>1252</v>
      </c>
      <c r="AI271" s="25">
        <v>45552</v>
      </c>
      <c r="AJ271" s="11" t="e">
        <f t="shared" si="8"/>
        <v>#VALUE!</v>
      </c>
      <c r="AK271" s="11" t="e">
        <f t="shared" si="9"/>
        <v>#VALUE!</v>
      </c>
      <c r="AL271" s="15" t="s">
        <v>1194</v>
      </c>
      <c r="AM271" s="15" t="s">
        <v>607</v>
      </c>
      <c r="AN271" s="15" t="s">
        <v>1498</v>
      </c>
      <c r="AO271" s="14" t="s">
        <v>1525</v>
      </c>
      <c r="AP271" s="26">
        <v>1032920</v>
      </c>
      <c r="AQ271" s="15" t="s">
        <v>598</v>
      </c>
    </row>
    <row r="272" spans="2:43" ht="75" hidden="1">
      <c r="B272">
        <v>8</v>
      </c>
      <c r="C272">
        <v>891224259</v>
      </c>
      <c r="D272" t="s">
        <v>275</v>
      </c>
      <c r="E272" t="s">
        <v>275</v>
      </c>
      <c r="F272">
        <v>891224259</v>
      </c>
      <c r="G272" t="s">
        <v>275</v>
      </c>
      <c r="H272" t="s">
        <v>277</v>
      </c>
      <c r="I272" t="s">
        <v>84</v>
      </c>
      <c r="J272" t="s">
        <v>47</v>
      </c>
      <c r="K272" t="s">
        <v>48</v>
      </c>
      <c r="L272">
        <v>31</v>
      </c>
      <c r="M272">
        <v>26</v>
      </c>
      <c r="N272">
        <v>29</v>
      </c>
      <c r="O272" t="s">
        <v>48</v>
      </c>
      <c r="P272" t="s">
        <v>85</v>
      </c>
      <c r="Q272" t="s">
        <v>1526</v>
      </c>
      <c r="R272">
        <v>2024</v>
      </c>
      <c r="S272" t="s">
        <v>65</v>
      </c>
      <c r="T272" t="s">
        <v>293</v>
      </c>
      <c r="U272" s="8">
        <v>45534.628622685188</v>
      </c>
      <c r="V272" s="2" t="s">
        <v>1527</v>
      </c>
      <c r="X272" t="s">
        <v>55</v>
      </c>
      <c r="Y272" t="s">
        <v>56</v>
      </c>
      <c r="Z272" t="s">
        <v>807</v>
      </c>
      <c r="AA272">
        <v>7215558</v>
      </c>
      <c r="AB272" t="s">
        <v>280</v>
      </c>
      <c r="AC272">
        <v>2</v>
      </c>
      <c r="AG272">
        <v>7687778</v>
      </c>
      <c r="AJ272" s="9" t="str">
        <f t="shared" si="8"/>
        <v>Sin respuesta</v>
      </c>
      <c r="AK272" s="10" t="str">
        <f t="shared" si="9"/>
        <v>Sin respuesta</v>
      </c>
      <c r="AP272"/>
    </row>
    <row r="273" spans="1:43" ht="60" hidden="1">
      <c r="B273">
        <v>8</v>
      </c>
      <c r="C273">
        <v>890931247</v>
      </c>
      <c r="D273" s="24" t="s">
        <v>624</v>
      </c>
      <c r="E273" t="s">
        <v>625</v>
      </c>
      <c r="F273">
        <v>890931247</v>
      </c>
      <c r="G273" t="s">
        <v>625</v>
      </c>
      <c r="H273" t="s">
        <v>626</v>
      </c>
      <c r="I273" t="s">
        <v>160</v>
      </c>
      <c r="J273" t="s">
        <v>47</v>
      </c>
      <c r="K273" t="s">
        <v>48</v>
      </c>
      <c r="L273">
        <v>31</v>
      </c>
      <c r="M273">
        <v>4</v>
      </c>
      <c r="N273">
        <v>29</v>
      </c>
      <c r="O273" t="s">
        <v>436</v>
      </c>
      <c r="P273" t="s">
        <v>63</v>
      </c>
      <c r="Q273" t="s">
        <v>1528</v>
      </c>
      <c r="R273">
        <v>2024</v>
      </c>
      <c r="S273" t="s">
        <v>65</v>
      </c>
      <c r="T273" t="s">
        <v>1113</v>
      </c>
      <c r="U273" s="8">
        <v>45534.66673611111</v>
      </c>
      <c r="V273" s="2" t="s">
        <v>1529</v>
      </c>
      <c r="W273" s="2"/>
      <c r="X273" t="s">
        <v>55</v>
      </c>
      <c r="Y273" t="s">
        <v>56</v>
      </c>
      <c r="Z273" t="s">
        <v>807</v>
      </c>
      <c r="AA273">
        <v>4480799</v>
      </c>
      <c r="AB273" t="s">
        <v>629</v>
      </c>
      <c r="AC273">
        <v>7</v>
      </c>
      <c r="AD273" s="14" t="s">
        <v>439</v>
      </c>
      <c r="AE273" s="15"/>
      <c r="AF273" s="2" t="s">
        <v>1530</v>
      </c>
      <c r="AG273" s="15" t="s">
        <v>592</v>
      </c>
      <c r="AH273" s="15" t="s">
        <v>55</v>
      </c>
      <c r="AI273" s="25">
        <v>45553</v>
      </c>
      <c r="AJ273" s="11" t="e">
        <f t="shared" si="8"/>
        <v>#VALUE!</v>
      </c>
      <c r="AK273" s="11" t="e">
        <f t="shared" si="9"/>
        <v>#VALUE!</v>
      </c>
      <c r="AL273" s="15" t="s">
        <v>594</v>
      </c>
      <c r="AM273" s="15" t="s">
        <v>595</v>
      </c>
      <c r="AN273" s="15" t="s">
        <v>1531</v>
      </c>
      <c r="AO273" s="15" t="s">
        <v>1532</v>
      </c>
      <c r="AP273" s="26">
        <v>161082</v>
      </c>
      <c r="AQ273" s="15" t="s">
        <v>598</v>
      </c>
    </row>
    <row r="274" spans="1:43" ht="120" hidden="1">
      <c r="B274">
        <v>9</v>
      </c>
      <c r="C274">
        <v>15378042</v>
      </c>
      <c r="D274" t="s">
        <v>514</v>
      </c>
      <c r="E274" t="s">
        <v>515</v>
      </c>
      <c r="F274">
        <v>15378042</v>
      </c>
      <c r="G274" t="s">
        <v>515</v>
      </c>
      <c r="H274" t="s">
        <v>516</v>
      </c>
      <c r="I274" t="s">
        <v>517</v>
      </c>
      <c r="J274" t="s">
        <v>47</v>
      </c>
      <c r="K274" t="s">
        <v>48</v>
      </c>
      <c r="L274">
        <v>28</v>
      </c>
      <c r="M274">
        <v>26</v>
      </c>
      <c r="N274">
        <v>26</v>
      </c>
      <c r="O274" t="s">
        <v>49</v>
      </c>
      <c r="P274" t="s">
        <v>63</v>
      </c>
      <c r="Q274" t="s">
        <v>1533</v>
      </c>
      <c r="R274">
        <v>2024</v>
      </c>
      <c r="S274" t="s">
        <v>65</v>
      </c>
      <c r="T274" t="s">
        <v>417</v>
      </c>
      <c r="U274" s="8">
        <v>45537.645428240743</v>
      </c>
      <c r="V274" s="2" t="s">
        <v>1534</v>
      </c>
      <c r="X274" t="s">
        <v>55</v>
      </c>
      <c r="Y274" t="s">
        <v>56</v>
      </c>
      <c r="Z274" t="s">
        <v>807</v>
      </c>
      <c r="AA274">
        <v>5531705</v>
      </c>
      <c r="AB274" t="s">
        <v>520</v>
      </c>
      <c r="AC274">
        <v>3</v>
      </c>
      <c r="AG274">
        <v>7215558</v>
      </c>
      <c r="AJ274" s="9" t="str">
        <f t="shared" si="8"/>
        <v>Sin respuesta</v>
      </c>
      <c r="AK274" s="10" t="str">
        <f t="shared" si="9"/>
        <v>Sin respuesta</v>
      </c>
      <c r="AP274"/>
    </row>
    <row r="275" spans="1:43" ht="60" hidden="1">
      <c r="B275">
        <v>9</v>
      </c>
      <c r="C275">
        <v>901037183</v>
      </c>
      <c r="D275" t="s">
        <v>1535</v>
      </c>
      <c r="E275" t="s">
        <v>1535</v>
      </c>
      <c r="F275">
        <v>901037183</v>
      </c>
      <c r="G275" t="s">
        <v>1535</v>
      </c>
      <c r="H275" t="s">
        <v>1536</v>
      </c>
      <c r="I275" t="s">
        <v>1537</v>
      </c>
      <c r="J275" t="s">
        <v>47</v>
      </c>
      <c r="K275" t="s">
        <v>48</v>
      </c>
      <c r="L275">
        <v>28</v>
      </c>
      <c r="M275">
        <v>26</v>
      </c>
      <c r="N275">
        <v>26</v>
      </c>
      <c r="O275" t="s">
        <v>48</v>
      </c>
      <c r="P275" t="s">
        <v>63</v>
      </c>
      <c r="Q275" t="s">
        <v>1538</v>
      </c>
      <c r="R275">
        <v>2024</v>
      </c>
      <c r="S275" t="s">
        <v>65</v>
      </c>
      <c r="T275" t="s">
        <v>293</v>
      </c>
      <c r="U275" s="8">
        <v>45537.665879629632</v>
      </c>
      <c r="V275" s="2" t="s">
        <v>1539</v>
      </c>
      <c r="X275" t="s">
        <v>55</v>
      </c>
      <c r="Y275" t="s">
        <v>56</v>
      </c>
      <c r="Z275" t="s">
        <v>807</v>
      </c>
      <c r="AA275">
        <v>8871279</v>
      </c>
      <c r="AB275" t="s">
        <v>1540</v>
      </c>
      <c r="AC275">
        <v>2</v>
      </c>
      <c r="AF275" s="2" t="s">
        <v>1530</v>
      </c>
      <c r="AG275" s="15" t="s">
        <v>592</v>
      </c>
      <c r="AH275" s="15" t="s">
        <v>1252</v>
      </c>
      <c r="AI275" s="25">
        <v>45553</v>
      </c>
      <c r="AJ275" s="11" t="e">
        <f t="shared" si="8"/>
        <v>#VALUE!</v>
      </c>
      <c r="AK275" s="11" t="e">
        <f t="shared" si="9"/>
        <v>#VALUE!</v>
      </c>
      <c r="AL275" s="15" t="s">
        <v>594</v>
      </c>
      <c r="AM275" s="15" t="s">
        <v>595</v>
      </c>
      <c r="AN275" s="15" t="s">
        <v>1432</v>
      </c>
      <c r="AO275" s="15" t="s">
        <v>1532</v>
      </c>
      <c r="AP275" s="26">
        <v>135363</v>
      </c>
      <c r="AQ275" s="15" t="s">
        <v>598</v>
      </c>
    </row>
    <row r="276" spans="1:43" ht="30" hidden="1">
      <c r="A276" s="15"/>
      <c r="B276" s="15">
        <v>9</v>
      </c>
      <c r="C276" s="15">
        <v>901477751</v>
      </c>
      <c r="D276" s="29" t="s">
        <v>1541</v>
      </c>
      <c r="E276" s="15" t="s">
        <v>1541</v>
      </c>
      <c r="F276" s="15">
        <v>901477751</v>
      </c>
      <c r="G276" s="15" t="s">
        <v>1541</v>
      </c>
      <c r="H276" s="15" t="s">
        <v>1542</v>
      </c>
      <c r="I276" s="15" t="s">
        <v>104</v>
      </c>
      <c r="J276" s="15" t="s">
        <v>47</v>
      </c>
      <c r="K276" s="15" t="s">
        <v>48</v>
      </c>
      <c r="L276" s="15">
        <v>27</v>
      </c>
      <c r="M276" s="15">
        <v>11</v>
      </c>
      <c r="N276" s="15">
        <v>25</v>
      </c>
      <c r="O276" s="15" t="s">
        <v>436</v>
      </c>
      <c r="P276" s="15" t="s">
        <v>106</v>
      </c>
      <c r="Q276" s="15" t="s">
        <v>1543</v>
      </c>
      <c r="R276" s="15">
        <v>2024</v>
      </c>
      <c r="S276" s="15" t="s">
        <v>52</v>
      </c>
      <c r="T276" s="15" t="s">
        <v>440</v>
      </c>
      <c r="U276" s="25">
        <v>45538.406053240738</v>
      </c>
      <c r="V276" s="14" t="s">
        <v>1544</v>
      </c>
      <c r="W276" s="15"/>
      <c r="X276" s="15" t="s">
        <v>55</v>
      </c>
      <c r="Y276" s="15" t="s">
        <v>56</v>
      </c>
      <c r="Z276" s="15" t="s">
        <v>807</v>
      </c>
      <c r="AA276" s="15">
        <v>3212329904</v>
      </c>
      <c r="AB276" s="15" t="s">
        <v>1545</v>
      </c>
      <c r="AC276" s="15">
        <v>7</v>
      </c>
      <c r="AD276" s="14" t="s">
        <v>589</v>
      </c>
      <c r="AE276" t="s">
        <v>1546</v>
      </c>
      <c r="AF276" s="30" t="s">
        <v>591</v>
      </c>
      <c r="AG276" s="15" t="s">
        <v>592</v>
      </c>
      <c r="AH276" s="15" t="s">
        <v>55</v>
      </c>
      <c r="AI276" s="25">
        <v>45559</v>
      </c>
      <c r="AJ276" s="11" t="e">
        <f>IF(AI276="","Sin respuesta",NETWORKDAYS.INTL(X276,AI276,1))</f>
        <v>#VALUE!</v>
      </c>
      <c r="AK276" s="12" t="e">
        <f t="shared" si="9"/>
        <v>#VALUE!</v>
      </c>
      <c r="AL276" s="14" t="s">
        <v>594</v>
      </c>
      <c r="AM276" s="14" t="s">
        <v>607</v>
      </c>
      <c r="AN276" s="15" t="s">
        <v>440</v>
      </c>
      <c r="AO276" s="14" t="s">
        <v>1547</v>
      </c>
      <c r="AP276" s="31">
        <v>40307</v>
      </c>
      <c r="AQ276" s="14" t="s">
        <v>1459</v>
      </c>
    </row>
    <row r="277" spans="1:43" ht="60" hidden="1">
      <c r="B277">
        <v>9</v>
      </c>
      <c r="C277">
        <v>802011128</v>
      </c>
      <c r="D277" t="s">
        <v>1548</v>
      </c>
      <c r="E277" t="s">
        <v>1548</v>
      </c>
      <c r="F277">
        <v>802011128</v>
      </c>
      <c r="G277" t="s">
        <v>1548</v>
      </c>
      <c r="H277" t="s">
        <v>1549</v>
      </c>
      <c r="I277" t="s">
        <v>46</v>
      </c>
      <c r="J277" t="s">
        <v>114</v>
      </c>
      <c r="K277" t="s">
        <v>48</v>
      </c>
      <c r="L277">
        <v>27</v>
      </c>
      <c r="M277">
        <v>26</v>
      </c>
      <c r="N277">
        <v>25</v>
      </c>
      <c r="O277" t="s">
        <v>49</v>
      </c>
      <c r="P277" t="s">
        <v>50</v>
      </c>
      <c r="Q277" t="s">
        <v>1550</v>
      </c>
      <c r="R277">
        <v>2024</v>
      </c>
      <c r="S277" t="s">
        <v>190</v>
      </c>
      <c r="T277" t="s">
        <v>1366</v>
      </c>
      <c r="U277" s="8">
        <v>45538.610729166663</v>
      </c>
      <c r="V277" s="2" t="s">
        <v>1551</v>
      </c>
      <c r="X277" t="s">
        <v>55</v>
      </c>
      <c r="Y277" t="s">
        <v>56</v>
      </c>
      <c r="Z277" t="s">
        <v>807</v>
      </c>
      <c r="AA277">
        <v>3532146</v>
      </c>
      <c r="AB277" t="s">
        <v>1552</v>
      </c>
      <c r="AC277">
        <v>3</v>
      </c>
      <c r="AJ277" s="9" t="str">
        <f t="shared" si="8"/>
        <v>Sin respuesta</v>
      </c>
      <c r="AK277" s="10" t="str">
        <f t="shared" si="9"/>
        <v>Sin respuesta</v>
      </c>
      <c r="AP277"/>
    </row>
    <row r="278" spans="1:43" ht="45" hidden="1">
      <c r="B278">
        <v>9</v>
      </c>
      <c r="C278">
        <v>900674809</v>
      </c>
      <c r="D278" t="s">
        <v>1553</v>
      </c>
      <c r="E278" t="s">
        <v>1553</v>
      </c>
      <c r="F278">
        <v>900674809</v>
      </c>
      <c r="G278" t="s">
        <v>1553</v>
      </c>
      <c r="H278" t="s">
        <v>1554</v>
      </c>
      <c r="I278" t="s">
        <v>1555</v>
      </c>
      <c r="J278" t="s">
        <v>47</v>
      </c>
      <c r="K278" t="s">
        <v>48</v>
      </c>
      <c r="L278">
        <v>27</v>
      </c>
      <c r="M278">
        <v>25</v>
      </c>
      <c r="N278">
        <v>25</v>
      </c>
      <c r="O278" t="s">
        <v>48</v>
      </c>
      <c r="P278" t="s">
        <v>1556</v>
      </c>
      <c r="Q278" t="s">
        <v>1557</v>
      </c>
      <c r="R278">
        <v>2024</v>
      </c>
      <c r="S278" t="s">
        <v>65</v>
      </c>
      <c r="T278" t="s">
        <v>293</v>
      </c>
      <c r="U278" s="8">
        <v>45538.623773148145</v>
      </c>
      <c r="V278" s="2" t="s">
        <v>1558</v>
      </c>
      <c r="X278" t="s">
        <v>55</v>
      </c>
      <c r="Y278" t="s">
        <v>56</v>
      </c>
      <c r="Z278" t="s">
        <v>807</v>
      </c>
      <c r="AA278">
        <v>7313105</v>
      </c>
      <c r="AB278" t="s">
        <v>1559</v>
      </c>
      <c r="AC278">
        <v>2</v>
      </c>
      <c r="AF278" t="s">
        <v>591</v>
      </c>
      <c r="AG278" s="15" t="s">
        <v>592</v>
      </c>
      <c r="AH278" t="s">
        <v>55</v>
      </c>
      <c r="AI278" s="8">
        <v>45559</v>
      </c>
      <c r="AJ278" s="11" t="e">
        <f t="shared" si="8"/>
        <v>#VALUE!</v>
      </c>
      <c r="AK278" s="12" t="e">
        <f t="shared" si="9"/>
        <v>#VALUE!</v>
      </c>
      <c r="AL278" t="s">
        <v>594</v>
      </c>
      <c r="AM278" t="s">
        <v>607</v>
      </c>
      <c r="AN278" t="s">
        <v>1179</v>
      </c>
      <c r="AO278" s="2" t="s">
        <v>1547</v>
      </c>
      <c r="AP278" s="26">
        <v>40307</v>
      </c>
      <c r="AQ278" s="15" t="s">
        <v>1459</v>
      </c>
    </row>
    <row r="279" spans="1:43" ht="45" hidden="1">
      <c r="B279">
        <v>9</v>
      </c>
      <c r="C279">
        <v>901378117</v>
      </c>
      <c r="D279" t="s">
        <v>1560</v>
      </c>
      <c r="E279" t="s">
        <v>1561</v>
      </c>
      <c r="F279">
        <v>901378117</v>
      </c>
      <c r="G279" t="s">
        <v>1561</v>
      </c>
      <c r="H279" t="s">
        <v>1562</v>
      </c>
      <c r="I279" t="s">
        <v>96</v>
      </c>
      <c r="J279" t="s">
        <v>47</v>
      </c>
      <c r="K279" t="s">
        <v>48</v>
      </c>
      <c r="L279">
        <v>27</v>
      </c>
      <c r="M279">
        <v>12</v>
      </c>
      <c r="N279">
        <v>25</v>
      </c>
      <c r="O279" t="s">
        <v>49</v>
      </c>
      <c r="P279" t="s">
        <v>97</v>
      </c>
      <c r="Q279" t="s">
        <v>1563</v>
      </c>
      <c r="R279">
        <v>2024</v>
      </c>
      <c r="S279" t="s">
        <v>65</v>
      </c>
      <c r="T279" t="s">
        <v>77</v>
      </c>
      <c r="U279" s="8">
        <v>45538.641805555555</v>
      </c>
      <c r="V279" s="2" t="s">
        <v>1564</v>
      </c>
      <c r="X279" t="s">
        <v>55</v>
      </c>
      <c r="Y279" t="s">
        <v>56</v>
      </c>
      <c r="Z279" t="s">
        <v>807</v>
      </c>
      <c r="AA279">
        <v>3389985</v>
      </c>
      <c r="AB279" t="s">
        <v>1565</v>
      </c>
      <c r="AC279">
        <v>3</v>
      </c>
      <c r="AJ279" s="9" t="str">
        <f t="shared" si="8"/>
        <v>Sin respuesta</v>
      </c>
      <c r="AK279" s="10" t="str">
        <f t="shared" si="9"/>
        <v>Sin respuesta</v>
      </c>
      <c r="AP279"/>
    </row>
    <row r="280" spans="1:43" ht="105" hidden="1">
      <c r="B280">
        <v>9</v>
      </c>
      <c r="C280">
        <v>901444417</v>
      </c>
      <c r="D280" t="s">
        <v>1566</v>
      </c>
      <c r="E280" t="s">
        <v>1566</v>
      </c>
      <c r="F280">
        <v>901444417</v>
      </c>
      <c r="G280" t="s">
        <v>1566</v>
      </c>
      <c r="H280" t="s">
        <v>1567</v>
      </c>
      <c r="I280" t="s">
        <v>1568</v>
      </c>
      <c r="J280" t="s">
        <v>114</v>
      </c>
      <c r="K280" t="s">
        <v>48</v>
      </c>
      <c r="L280">
        <v>27</v>
      </c>
      <c r="M280">
        <v>25</v>
      </c>
      <c r="N280">
        <v>25</v>
      </c>
      <c r="O280" t="s">
        <v>48</v>
      </c>
      <c r="P280" t="s">
        <v>291</v>
      </c>
      <c r="Q280" t="s">
        <v>1569</v>
      </c>
      <c r="R280">
        <v>2024</v>
      </c>
      <c r="S280" t="s">
        <v>52</v>
      </c>
      <c r="T280" t="s">
        <v>661</v>
      </c>
      <c r="U280" s="8">
        <v>45538.656076388892</v>
      </c>
      <c r="V280" s="2" t="s">
        <v>1570</v>
      </c>
      <c r="X280" t="s">
        <v>55</v>
      </c>
      <c r="Y280" t="s">
        <v>56</v>
      </c>
      <c r="Z280" t="s">
        <v>807</v>
      </c>
      <c r="AA280">
        <v>3222807055</v>
      </c>
      <c r="AB280" t="s">
        <v>1571</v>
      </c>
      <c r="AC280">
        <v>2</v>
      </c>
      <c r="AJ280" s="9" t="str">
        <f t="shared" si="8"/>
        <v>Sin respuesta</v>
      </c>
      <c r="AK280" s="10" t="str">
        <f t="shared" si="9"/>
        <v>Sin respuesta</v>
      </c>
      <c r="AP280"/>
    </row>
    <row r="281" spans="1:43" ht="45" hidden="1">
      <c r="B281">
        <v>9</v>
      </c>
      <c r="C281">
        <v>811041995</v>
      </c>
      <c r="D281" t="s">
        <v>1572</v>
      </c>
      <c r="E281" t="s">
        <v>1573</v>
      </c>
      <c r="F281">
        <v>811041995</v>
      </c>
      <c r="G281" t="s">
        <v>1573</v>
      </c>
      <c r="H281" t="s">
        <v>1574</v>
      </c>
      <c r="I281" t="s">
        <v>211</v>
      </c>
      <c r="J281" t="s">
        <v>47</v>
      </c>
      <c r="K281" t="s">
        <v>48</v>
      </c>
      <c r="L281">
        <v>27</v>
      </c>
      <c r="M281">
        <v>24</v>
      </c>
      <c r="N281">
        <v>25</v>
      </c>
      <c r="O281" t="s">
        <v>48</v>
      </c>
      <c r="P281" t="s">
        <v>63</v>
      </c>
      <c r="Q281" t="s">
        <v>1575</v>
      </c>
      <c r="R281">
        <v>2024</v>
      </c>
      <c r="S281" t="s">
        <v>65</v>
      </c>
      <c r="T281" t="s">
        <v>293</v>
      </c>
      <c r="U281" s="8">
        <v>45538.726990740739</v>
      </c>
      <c r="V281" s="2" t="s">
        <v>1576</v>
      </c>
      <c r="X281" t="s">
        <v>55</v>
      </c>
      <c r="Y281" t="s">
        <v>56</v>
      </c>
      <c r="Z281" t="s">
        <v>807</v>
      </c>
      <c r="AA281">
        <v>3220114</v>
      </c>
      <c r="AB281" t="s">
        <v>1577</v>
      </c>
      <c r="AC281">
        <v>2</v>
      </c>
      <c r="AJ281" s="9" t="str">
        <f t="shared" si="8"/>
        <v>Sin respuesta</v>
      </c>
      <c r="AK281" s="10" t="str">
        <f t="shared" si="9"/>
        <v>Sin respuesta</v>
      </c>
      <c r="AP281"/>
    </row>
    <row r="282" spans="1:43" ht="75" hidden="1">
      <c r="A282" s="15"/>
      <c r="B282" s="15">
        <v>9</v>
      </c>
      <c r="C282" s="15">
        <v>800255589</v>
      </c>
      <c r="D282" s="29" t="s">
        <v>493</v>
      </c>
      <c r="E282" s="15" t="s">
        <v>493</v>
      </c>
      <c r="F282" s="15">
        <v>800255589</v>
      </c>
      <c r="G282" s="15" t="s">
        <v>493</v>
      </c>
      <c r="H282" s="15" t="s">
        <v>494</v>
      </c>
      <c r="I282" s="15" t="s">
        <v>197</v>
      </c>
      <c r="J282" s="15" t="s">
        <v>114</v>
      </c>
      <c r="K282" s="15" t="s">
        <v>48</v>
      </c>
      <c r="L282" s="15">
        <v>25</v>
      </c>
      <c r="M282" s="15">
        <v>19</v>
      </c>
      <c r="N282" s="15">
        <v>23</v>
      </c>
      <c r="O282" s="15" t="s">
        <v>62</v>
      </c>
      <c r="P282" s="15" t="s">
        <v>198</v>
      </c>
      <c r="Q282" s="15" t="s">
        <v>1578</v>
      </c>
      <c r="R282" s="15">
        <v>2024</v>
      </c>
      <c r="S282" s="15" t="s">
        <v>124</v>
      </c>
      <c r="T282" s="15" t="s">
        <v>284</v>
      </c>
      <c r="U282" s="25">
        <v>45540.431331018517</v>
      </c>
      <c r="V282" s="19" t="s">
        <v>1579</v>
      </c>
      <c r="W282" s="15"/>
      <c r="X282" s="15" t="s">
        <v>55</v>
      </c>
      <c r="Y282" s="15" t="s">
        <v>56</v>
      </c>
      <c r="Z282" s="15" t="s">
        <v>807</v>
      </c>
      <c r="AA282" s="15">
        <v>4216883</v>
      </c>
      <c r="AB282" s="15" t="s">
        <v>497</v>
      </c>
      <c r="AC282" s="15">
        <v>6</v>
      </c>
      <c r="AD282" s="14" t="s">
        <v>91</v>
      </c>
      <c r="AE282" s="15"/>
      <c r="AF282" s="32" t="s">
        <v>1580</v>
      </c>
      <c r="AG282" s="15" t="s">
        <v>592</v>
      </c>
      <c r="AH282" s="15" t="s">
        <v>55</v>
      </c>
      <c r="AI282" s="25">
        <v>45541</v>
      </c>
      <c r="AJ282" s="33" t="e">
        <f t="shared" si="8"/>
        <v>#VALUE!</v>
      </c>
      <c r="AK282" s="34" t="e">
        <f t="shared" si="9"/>
        <v>#VALUE!</v>
      </c>
      <c r="AL282" s="14" t="s">
        <v>594</v>
      </c>
      <c r="AM282" s="14" t="s">
        <v>595</v>
      </c>
      <c r="AN282" s="14" t="s">
        <v>1228</v>
      </c>
      <c r="AO282" s="14"/>
      <c r="AP282" s="35">
        <v>451741</v>
      </c>
      <c r="AQ282" s="14" t="s">
        <v>598</v>
      </c>
    </row>
    <row r="283" spans="1:43" ht="45" hidden="1">
      <c r="B283">
        <v>9</v>
      </c>
      <c r="C283">
        <v>1094963194</v>
      </c>
      <c r="D283" t="s">
        <v>1581</v>
      </c>
      <c r="E283" t="s">
        <v>1581</v>
      </c>
      <c r="F283">
        <v>1094963194</v>
      </c>
      <c r="G283" t="s">
        <v>1581</v>
      </c>
      <c r="H283" t="s">
        <v>1582</v>
      </c>
      <c r="I283" t="s">
        <v>235</v>
      </c>
      <c r="J283" t="s">
        <v>47</v>
      </c>
      <c r="K283" t="s">
        <v>48</v>
      </c>
      <c r="L283">
        <v>24</v>
      </c>
      <c r="M283">
        <v>24</v>
      </c>
      <c r="N283">
        <v>22</v>
      </c>
      <c r="O283" t="s">
        <v>49</v>
      </c>
      <c r="P283" t="s">
        <v>236</v>
      </c>
      <c r="Q283" t="s">
        <v>1583</v>
      </c>
      <c r="R283">
        <v>2024</v>
      </c>
      <c r="S283" t="s">
        <v>52</v>
      </c>
      <c r="T283" t="s">
        <v>53</v>
      </c>
      <c r="U283" s="8">
        <v>45541.602812500001</v>
      </c>
      <c r="V283" s="2" t="s">
        <v>1584</v>
      </c>
      <c r="X283" t="s">
        <v>55</v>
      </c>
      <c r="Y283" t="s">
        <v>56</v>
      </c>
      <c r="Z283" t="s">
        <v>807</v>
      </c>
      <c r="AA283">
        <v>2809150</v>
      </c>
      <c r="AB283" t="s">
        <v>1585</v>
      </c>
      <c r="AC283">
        <v>3</v>
      </c>
      <c r="AJ283" s="9" t="str">
        <f t="shared" si="8"/>
        <v>Sin respuesta</v>
      </c>
      <c r="AK283" s="10" t="str">
        <f t="shared" si="9"/>
        <v>Sin respuesta</v>
      </c>
      <c r="AP283"/>
    </row>
    <row r="284" spans="1:43" ht="30" hidden="1">
      <c r="B284">
        <v>9</v>
      </c>
      <c r="C284">
        <v>98475267</v>
      </c>
      <c r="D284" t="s">
        <v>1092</v>
      </c>
      <c r="E284" t="s">
        <v>1093</v>
      </c>
      <c r="F284">
        <v>98475267</v>
      </c>
      <c r="G284" t="s">
        <v>1093</v>
      </c>
      <c r="H284" t="s">
        <v>1094</v>
      </c>
      <c r="I284" t="s">
        <v>892</v>
      </c>
      <c r="J284" t="s">
        <v>47</v>
      </c>
      <c r="K284" t="s">
        <v>48</v>
      </c>
      <c r="L284">
        <v>24</v>
      </c>
      <c r="M284">
        <v>17</v>
      </c>
      <c r="N284">
        <v>22</v>
      </c>
      <c r="O284" t="s">
        <v>49</v>
      </c>
      <c r="P284" t="s">
        <v>63</v>
      </c>
      <c r="Q284" t="s">
        <v>1586</v>
      </c>
      <c r="R284">
        <v>2024</v>
      </c>
      <c r="S284" t="s">
        <v>65</v>
      </c>
      <c r="T284" t="s">
        <v>125</v>
      </c>
      <c r="U284" s="8">
        <v>45541.657534722224</v>
      </c>
      <c r="V284" s="2" t="s">
        <v>1587</v>
      </c>
      <c r="X284" t="s">
        <v>55</v>
      </c>
      <c r="Y284" t="s">
        <v>56</v>
      </c>
      <c r="Z284" t="s">
        <v>807</v>
      </c>
      <c r="AA284">
        <v>8373410</v>
      </c>
      <c r="AB284" t="s">
        <v>1097</v>
      </c>
      <c r="AC284">
        <v>3</v>
      </c>
      <c r="AI284" s="8">
        <v>45541</v>
      </c>
      <c r="AJ284" s="23" t="e">
        <f t="shared" si="8"/>
        <v>#VALUE!</v>
      </c>
      <c r="AK284" s="23" t="e">
        <f t="shared" si="9"/>
        <v>#VALUE!</v>
      </c>
      <c r="AL284" t="s">
        <v>594</v>
      </c>
      <c r="AM284" t="s">
        <v>595</v>
      </c>
      <c r="AN284" t="s">
        <v>1228</v>
      </c>
      <c r="AO284" t="s">
        <v>1588</v>
      </c>
      <c r="AP284"/>
    </row>
    <row r="285" spans="1:43" ht="45" hidden="1">
      <c r="B285">
        <v>9</v>
      </c>
      <c r="C285">
        <v>1152198191</v>
      </c>
      <c r="D285" t="s">
        <v>1589</v>
      </c>
      <c r="E285" t="s">
        <v>1590</v>
      </c>
      <c r="F285">
        <v>1152198191</v>
      </c>
      <c r="G285" t="s">
        <v>1590</v>
      </c>
      <c r="H285" t="s">
        <v>1591</v>
      </c>
      <c r="I285" t="s">
        <v>601</v>
      </c>
      <c r="J285" t="s">
        <v>47</v>
      </c>
      <c r="K285" t="s">
        <v>48</v>
      </c>
      <c r="L285">
        <v>24</v>
      </c>
      <c r="M285">
        <v>16</v>
      </c>
      <c r="N285">
        <v>22</v>
      </c>
      <c r="O285" t="s">
        <v>48</v>
      </c>
      <c r="P285" t="s">
        <v>63</v>
      </c>
      <c r="Q285" t="s">
        <v>1592</v>
      </c>
      <c r="R285">
        <v>2024</v>
      </c>
      <c r="S285" t="s">
        <v>65</v>
      </c>
      <c r="T285" t="s">
        <v>334</v>
      </c>
      <c r="U285" s="8">
        <v>45541.69059027778</v>
      </c>
      <c r="V285" s="2" t="s">
        <v>1593</v>
      </c>
      <c r="X285" t="s">
        <v>55</v>
      </c>
      <c r="Y285" t="s">
        <v>56</v>
      </c>
      <c r="Z285" t="s">
        <v>807</v>
      </c>
      <c r="AA285">
        <v>3042466600</v>
      </c>
      <c r="AB285" t="s">
        <v>1594</v>
      </c>
      <c r="AC285">
        <v>2</v>
      </c>
      <c r="AJ285" s="9" t="str">
        <f t="shared" si="8"/>
        <v>Sin respuesta</v>
      </c>
      <c r="AK285" s="10" t="str">
        <f t="shared" si="9"/>
        <v>Sin respuesta</v>
      </c>
      <c r="AP285"/>
    </row>
    <row r="286" spans="1:43" ht="45" hidden="1">
      <c r="B286">
        <v>9</v>
      </c>
      <c r="C286">
        <v>890912426</v>
      </c>
      <c r="D286" t="s">
        <v>1107</v>
      </c>
      <c r="E286" t="s">
        <v>1107</v>
      </c>
      <c r="F286">
        <v>890912426</v>
      </c>
      <c r="G286" t="s">
        <v>1107</v>
      </c>
      <c r="H286" t="s">
        <v>1108</v>
      </c>
      <c r="I286" t="s">
        <v>211</v>
      </c>
      <c r="J286" t="s">
        <v>47</v>
      </c>
      <c r="K286" t="s">
        <v>48</v>
      </c>
      <c r="L286">
        <v>21</v>
      </c>
      <c r="M286">
        <v>16</v>
      </c>
      <c r="N286">
        <v>19</v>
      </c>
      <c r="O286" t="s">
        <v>48</v>
      </c>
      <c r="P286" t="s">
        <v>63</v>
      </c>
      <c r="Q286" t="s">
        <v>1595</v>
      </c>
      <c r="R286">
        <v>2024</v>
      </c>
      <c r="S286" t="s">
        <v>65</v>
      </c>
      <c r="T286" t="s">
        <v>293</v>
      </c>
      <c r="U286" s="8">
        <v>45544.488171296296</v>
      </c>
      <c r="V286" s="2" t="s">
        <v>1596</v>
      </c>
      <c r="X286" t="s">
        <v>55</v>
      </c>
      <c r="Y286" t="s">
        <v>56</v>
      </c>
      <c r="Z286" t="s">
        <v>807</v>
      </c>
      <c r="AA286">
        <v>4444624</v>
      </c>
      <c r="AB286" t="s">
        <v>1111</v>
      </c>
      <c r="AC286">
        <v>2</v>
      </c>
      <c r="AJ286" s="9" t="str">
        <f t="shared" si="8"/>
        <v>Sin respuesta</v>
      </c>
      <c r="AK286" s="10" t="str">
        <f t="shared" si="9"/>
        <v>Sin respuesta</v>
      </c>
      <c r="AP286"/>
    </row>
    <row r="287" spans="1:43" ht="75" hidden="1">
      <c r="B287">
        <v>9</v>
      </c>
      <c r="C287">
        <v>900243893</v>
      </c>
      <c r="D287" t="s">
        <v>1597</v>
      </c>
      <c r="E287" t="s">
        <v>1597</v>
      </c>
      <c r="F287">
        <v>900243893</v>
      </c>
      <c r="G287" t="s">
        <v>1597</v>
      </c>
      <c r="H287" t="s">
        <v>1598</v>
      </c>
      <c r="I287" t="s">
        <v>84</v>
      </c>
      <c r="J287" t="s">
        <v>114</v>
      </c>
      <c r="K287" t="s">
        <v>48</v>
      </c>
      <c r="L287">
        <v>20</v>
      </c>
      <c r="M287">
        <v>16</v>
      </c>
      <c r="N287">
        <v>18</v>
      </c>
      <c r="O287" t="s">
        <v>49</v>
      </c>
      <c r="P287" t="s">
        <v>85</v>
      </c>
      <c r="Q287" t="s">
        <v>1599</v>
      </c>
      <c r="R287">
        <v>2024</v>
      </c>
      <c r="S287" t="s">
        <v>52</v>
      </c>
      <c r="T287" t="s">
        <v>116</v>
      </c>
      <c r="U287" s="8">
        <v>45545.631932870368</v>
      </c>
      <c r="V287" s="2" t="s">
        <v>1600</v>
      </c>
      <c r="X287" t="s">
        <v>55</v>
      </c>
      <c r="Y287" t="s">
        <v>56</v>
      </c>
      <c r="Z287" t="s">
        <v>807</v>
      </c>
      <c r="AA287">
        <v>7304553</v>
      </c>
      <c r="AB287" t="s">
        <v>1601</v>
      </c>
      <c r="AC287">
        <v>3</v>
      </c>
      <c r="AJ287" s="9" t="str">
        <f t="shared" si="8"/>
        <v>Sin respuesta</v>
      </c>
      <c r="AK287" s="10" t="str">
        <f t="shared" si="9"/>
        <v>Sin respuesta</v>
      </c>
      <c r="AP287"/>
    </row>
    <row r="288" spans="1:43" ht="60" hidden="1">
      <c r="B288">
        <v>9</v>
      </c>
      <c r="C288">
        <v>900774294</v>
      </c>
      <c r="D288" t="s">
        <v>770</v>
      </c>
      <c r="E288" t="s">
        <v>770</v>
      </c>
      <c r="F288">
        <v>900774294</v>
      </c>
      <c r="G288" t="s">
        <v>770</v>
      </c>
      <c r="H288" t="s">
        <v>772</v>
      </c>
      <c r="I288" t="s">
        <v>96</v>
      </c>
      <c r="J288" t="s">
        <v>47</v>
      </c>
      <c r="K288" t="s">
        <v>48</v>
      </c>
      <c r="L288">
        <v>18</v>
      </c>
      <c r="M288">
        <v>18</v>
      </c>
      <c r="N288">
        <v>16</v>
      </c>
      <c r="O288" t="s">
        <v>48</v>
      </c>
      <c r="P288" t="s">
        <v>97</v>
      </c>
      <c r="Q288" t="s">
        <v>1602</v>
      </c>
      <c r="R288">
        <v>2024</v>
      </c>
      <c r="S288" t="s">
        <v>1603</v>
      </c>
      <c r="T288" t="s">
        <v>1604</v>
      </c>
      <c r="U288" s="8">
        <v>45547.592673611114</v>
      </c>
      <c r="V288" s="2" t="s">
        <v>1605</v>
      </c>
      <c r="X288" t="s">
        <v>55</v>
      </c>
      <c r="Y288" t="s">
        <v>56</v>
      </c>
      <c r="Z288" t="s">
        <v>807</v>
      </c>
      <c r="AA288">
        <v>5241707</v>
      </c>
      <c r="AB288" t="s">
        <v>775</v>
      </c>
      <c r="AC288">
        <v>2</v>
      </c>
      <c r="AJ288" s="9" t="str">
        <f t="shared" si="8"/>
        <v>Sin respuesta</v>
      </c>
      <c r="AK288" s="10" t="str">
        <f t="shared" si="9"/>
        <v>Sin respuesta</v>
      </c>
      <c r="AP288"/>
    </row>
    <row r="289" spans="1:43" ht="75" hidden="1">
      <c r="B289">
        <v>9</v>
      </c>
      <c r="C289">
        <v>70784815</v>
      </c>
      <c r="D289" t="s">
        <v>1606</v>
      </c>
      <c r="E289" t="s">
        <v>1607</v>
      </c>
      <c r="F289">
        <v>70784815</v>
      </c>
      <c r="G289" t="s">
        <v>1607</v>
      </c>
      <c r="H289" t="s">
        <v>1608</v>
      </c>
      <c r="I289" t="s">
        <v>1609</v>
      </c>
      <c r="J289" t="s">
        <v>114</v>
      </c>
      <c r="K289" t="s">
        <v>49</v>
      </c>
      <c r="L289">
        <v>17</v>
      </c>
      <c r="M289">
        <v>5</v>
      </c>
      <c r="N289">
        <v>15</v>
      </c>
      <c r="O289" t="s">
        <v>49</v>
      </c>
      <c r="P289" t="s">
        <v>63</v>
      </c>
      <c r="Q289" t="s">
        <v>1610</v>
      </c>
      <c r="R289">
        <v>2024</v>
      </c>
      <c r="S289" t="s">
        <v>52</v>
      </c>
      <c r="T289" t="s">
        <v>116</v>
      </c>
      <c r="U289" s="8">
        <v>45548.349652777775</v>
      </c>
      <c r="V289" s="2" t="s">
        <v>1611</v>
      </c>
      <c r="X289" t="s">
        <v>1252</v>
      </c>
      <c r="Z289" t="s">
        <v>807</v>
      </c>
      <c r="AA289">
        <v>8647694</v>
      </c>
      <c r="AB289" t="s">
        <v>1612</v>
      </c>
      <c r="AC289">
        <v>3</v>
      </c>
      <c r="AJ289" s="9" t="str">
        <f t="shared" si="8"/>
        <v>Sin respuesta</v>
      </c>
      <c r="AK289" s="10" t="str">
        <f t="shared" si="9"/>
        <v>Sin respuesta</v>
      </c>
      <c r="AP289"/>
    </row>
    <row r="290" spans="1:43" ht="60" hidden="1">
      <c r="B290">
        <v>9</v>
      </c>
      <c r="C290">
        <v>900488078</v>
      </c>
      <c r="D290" t="s">
        <v>135</v>
      </c>
      <c r="E290" t="s">
        <v>136</v>
      </c>
      <c r="F290">
        <v>900488078</v>
      </c>
      <c r="G290">
        <v>900488078</v>
      </c>
      <c r="H290" t="s">
        <v>137</v>
      </c>
      <c r="I290" t="s">
        <v>138</v>
      </c>
      <c r="J290" t="s">
        <v>114</v>
      </c>
      <c r="K290" t="s">
        <v>48</v>
      </c>
      <c r="L290">
        <v>17</v>
      </c>
      <c r="M290">
        <v>12</v>
      </c>
      <c r="N290">
        <v>15</v>
      </c>
      <c r="O290" t="s">
        <v>49</v>
      </c>
      <c r="P290" t="s">
        <v>63</v>
      </c>
      <c r="Q290" t="s">
        <v>1613</v>
      </c>
      <c r="R290">
        <v>2024</v>
      </c>
      <c r="S290" t="s">
        <v>52</v>
      </c>
      <c r="T290" t="s">
        <v>116</v>
      </c>
      <c r="U290" s="8">
        <v>45548.417199074072</v>
      </c>
      <c r="V290" s="2" t="s">
        <v>1614</v>
      </c>
      <c r="X290" t="s">
        <v>55</v>
      </c>
      <c r="Y290" t="s">
        <v>56</v>
      </c>
      <c r="Z290" t="s">
        <v>807</v>
      </c>
      <c r="AA290">
        <v>8280513</v>
      </c>
      <c r="AB290" t="s">
        <v>142</v>
      </c>
      <c r="AC290">
        <v>3</v>
      </c>
      <c r="AF290" s="15"/>
    </row>
    <row r="291" spans="1:43" ht="45" hidden="1">
      <c r="B291">
        <v>9</v>
      </c>
      <c r="C291">
        <v>901388709</v>
      </c>
      <c r="D291" t="s">
        <v>1615</v>
      </c>
      <c r="E291" t="s">
        <v>1615</v>
      </c>
      <c r="F291">
        <v>901388709</v>
      </c>
      <c r="G291">
        <v>901388709</v>
      </c>
      <c r="H291" t="s">
        <v>1616</v>
      </c>
      <c r="I291" t="s">
        <v>1617</v>
      </c>
      <c r="J291" t="s">
        <v>47</v>
      </c>
      <c r="K291" t="s">
        <v>48</v>
      </c>
      <c r="L291">
        <v>17</v>
      </c>
      <c r="M291">
        <v>12</v>
      </c>
      <c r="N291">
        <v>15</v>
      </c>
      <c r="O291" t="s">
        <v>48</v>
      </c>
      <c r="P291" t="s">
        <v>424</v>
      </c>
      <c r="Q291" t="s">
        <v>1618</v>
      </c>
      <c r="R291">
        <v>2024</v>
      </c>
      <c r="S291" t="s">
        <v>65</v>
      </c>
      <c r="T291" t="s">
        <v>293</v>
      </c>
      <c r="U291" s="8">
        <v>45548.428043981483</v>
      </c>
      <c r="V291" s="2" t="s">
        <v>1619</v>
      </c>
      <c r="X291" t="s">
        <v>55</v>
      </c>
      <c r="Y291" t="s">
        <v>56</v>
      </c>
      <c r="Z291" t="s">
        <v>807</v>
      </c>
      <c r="AA291">
        <v>3163111282</v>
      </c>
      <c r="AB291" t="s">
        <v>1620</v>
      </c>
      <c r="AC291">
        <v>2</v>
      </c>
    </row>
    <row r="292" spans="1:43" ht="45" hidden="1">
      <c r="B292">
        <v>9</v>
      </c>
      <c r="C292">
        <v>15378042</v>
      </c>
      <c r="D292" t="s">
        <v>514</v>
      </c>
      <c r="E292" t="s">
        <v>515</v>
      </c>
      <c r="F292">
        <v>15378042</v>
      </c>
      <c r="G292" t="s">
        <v>515</v>
      </c>
      <c r="H292" t="s">
        <v>516</v>
      </c>
      <c r="I292" t="s">
        <v>517</v>
      </c>
      <c r="J292" t="s">
        <v>114</v>
      </c>
      <c r="K292" t="s">
        <v>48</v>
      </c>
      <c r="L292">
        <v>14</v>
      </c>
      <c r="M292">
        <v>12</v>
      </c>
      <c r="N292">
        <v>12</v>
      </c>
      <c r="O292" t="s">
        <v>49</v>
      </c>
      <c r="P292" t="s">
        <v>63</v>
      </c>
      <c r="Q292" t="s">
        <v>1621</v>
      </c>
      <c r="R292">
        <v>2024</v>
      </c>
      <c r="S292" t="s">
        <v>52</v>
      </c>
      <c r="T292" t="s">
        <v>116</v>
      </c>
      <c r="U292" s="8">
        <v>45551.607395833336</v>
      </c>
      <c r="V292" s="2" t="s">
        <v>1622</v>
      </c>
      <c r="X292" t="s">
        <v>55</v>
      </c>
      <c r="Y292" t="s">
        <v>56</v>
      </c>
      <c r="Z292" t="s">
        <v>807</v>
      </c>
      <c r="AA292">
        <v>5531705</v>
      </c>
      <c r="AB292" t="s">
        <v>520</v>
      </c>
      <c r="AC292">
        <v>3</v>
      </c>
    </row>
    <row r="293" spans="1:43" ht="45" hidden="1">
      <c r="B293">
        <v>9</v>
      </c>
      <c r="C293">
        <v>901470981</v>
      </c>
      <c r="D293" t="s">
        <v>1623</v>
      </c>
      <c r="E293" t="s">
        <v>1623</v>
      </c>
      <c r="F293">
        <v>901470981</v>
      </c>
      <c r="G293" t="s">
        <v>1623</v>
      </c>
      <c r="H293" t="s">
        <v>1624</v>
      </c>
      <c r="I293" t="s">
        <v>1183</v>
      </c>
      <c r="J293" t="s">
        <v>47</v>
      </c>
      <c r="K293" t="s">
        <v>48</v>
      </c>
      <c r="L293">
        <v>14</v>
      </c>
      <c r="M293">
        <v>12</v>
      </c>
      <c r="N293">
        <v>12</v>
      </c>
      <c r="O293" t="s">
        <v>49</v>
      </c>
      <c r="P293" t="s">
        <v>265</v>
      </c>
      <c r="Q293" t="s">
        <v>1625</v>
      </c>
      <c r="R293">
        <v>2024</v>
      </c>
      <c r="S293" t="s">
        <v>52</v>
      </c>
      <c r="T293" t="s">
        <v>53</v>
      </c>
      <c r="U293" s="8">
        <v>45551.626273148147</v>
      </c>
      <c r="V293" s="2" t="s">
        <v>1626</v>
      </c>
      <c r="X293" t="s">
        <v>55</v>
      </c>
      <c r="Y293" t="s">
        <v>56</v>
      </c>
      <c r="Z293" t="s">
        <v>807</v>
      </c>
      <c r="AA293">
        <v>7626555</v>
      </c>
      <c r="AB293" t="s">
        <v>1627</v>
      </c>
      <c r="AC293">
        <v>3</v>
      </c>
    </row>
    <row r="294" spans="1:43" ht="45" hidden="1">
      <c r="B294">
        <v>9</v>
      </c>
      <c r="C294">
        <v>901111035</v>
      </c>
      <c r="D294" t="s">
        <v>1067</v>
      </c>
      <c r="E294" t="s">
        <v>1067</v>
      </c>
      <c r="F294">
        <v>901111035</v>
      </c>
      <c r="G294" t="s">
        <v>1067</v>
      </c>
      <c r="H294" t="s">
        <v>1068</v>
      </c>
      <c r="I294" t="s">
        <v>884</v>
      </c>
      <c r="J294" t="s">
        <v>114</v>
      </c>
      <c r="K294" t="s">
        <v>48</v>
      </c>
      <c r="L294">
        <v>14</v>
      </c>
      <c r="M294">
        <v>12</v>
      </c>
      <c r="N294">
        <v>12</v>
      </c>
      <c r="O294" t="s">
        <v>49</v>
      </c>
      <c r="P294" t="s">
        <v>131</v>
      </c>
      <c r="Q294" t="s">
        <v>1628</v>
      </c>
      <c r="R294">
        <v>2024</v>
      </c>
      <c r="S294" t="s">
        <v>52</v>
      </c>
      <c r="T294" t="s">
        <v>116</v>
      </c>
      <c r="U294" s="8">
        <v>45551.651655092595</v>
      </c>
      <c r="V294" s="2" t="s">
        <v>1629</v>
      </c>
      <c r="X294" t="s">
        <v>55</v>
      </c>
      <c r="Y294" t="s">
        <v>56</v>
      </c>
      <c r="Z294" t="s">
        <v>807</v>
      </c>
      <c r="AA294">
        <v>8212297</v>
      </c>
      <c r="AB294" t="s">
        <v>1071</v>
      </c>
      <c r="AC294">
        <v>3</v>
      </c>
    </row>
    <row r="295" spans="1:43" ht="60" hidden="1">
      <c r="B295">
        <v>9</v>
      </c>
      <c r="C295">
        <v>71691865</v>
      </c>
      <c r="D295" t="s">
        <v>1630</v>
      </c>
      <c r="E295" t="s">
        <v>1631</v>
      </c>
      <c r="F295">
        <v>71691865</v>
      </c>
      <c r="G295" t="s">
        <v>1631</v>
      </c>
      <c r="H295" t="s">
        <v>1632</v>
      </c>
      <c r="I295" t="s">
        <v>1633</v>
      </c>
      <c r="J295" t="s">
        <v>47</v>
      </c>
      <c r="K295" t="s">
        <v>49</v>
      </c>
      <c r="L295">
        <v>14</v>
      </c>
      <c r="M295">
        <v>14</v>
      </c>
      <c r="N295">
        <v>12</v>
      </c>
      <c r="O295" t="s">
        <v>49</v>
      </c>
      <c r="P295" t="s">
        <v>63</v>
      </c>
      <c r="Q295" t="s">
        <v>1634</v>
      </c>
      <c r="R295">
        <v>2024</v>
      </c>
      <c r="S295" t="s">
        <v>65</v>
      </c>
      <c r="T295" t="s">
        <v>417</v>
      </c>
      <c r="U295" s="8">
        <v>45551.668657407405</v>
      </c>
      <c r="V295" s="2" t="s">
        <v>1635</v>
      </c>
      <c r="X295" t="s">
        <v>1252</v>
      </c>
      <c r="Z295" t="s">
        <v>807</v>
      </c>
      <c r="AA295">
        <v>8308402</v>
      </c>
      <c r="AB295" t="s">
        <v>1636</v>
      </c>
      <c r="AC295">
        <v>3</v>
      </c>
    </row>
    <row r="296" spans="1:43" ht="45" hidden="1">
      <c r="B296">
        <v>9</v>
      </c>
      <c r="C296">
        <v>900162495</v>
      </c>
      <c r="D296" t="s">
        <v>1637</v>
      </c>
      <c r="E296" t="s">
        <v>1638</v>
      </c>
      <c r="F296">
        <v>900162495</v>
      </c>
      <c r="G296" t="s">
        <v>1638</v>
      </c>
      <c r="H296" t="s">
        <v>1639</v>
      </c>
      <c r="I296" t="s">
        <v>1640</v>
      </c>
      <c r="J296" t="s">
        <v>114</v>
      </c>
      <c r="K296" t="s">
        <v>48</v>
      </c>
      <c r="L296">
        <v>13</v>
      </c>
      <c r="M296">
        <v>12</v>
      </c>
      <c r="N296">
        <v>11</v>
      </c>
      <c r="O296" t="s">
        <v>49</v>
      </c>
      <c r="P296" t="s">
        <v>63</v>
      </c>
      <c r="Q296" t="s">
        <v>1641</v>
      </c>
      <c r="R296">
        <v>2024</v>
      </c>
      <c r="S296" t="s">
        <v>52</v>
      </c>
      <c r="T296" t="s">
        <v>116</v>
      </c>
      <c r="U296" s="8">
        <v>45552.473946759259</v>
      </c>
      <c r="V296" s="2" t="s">
        <v>1642</v>
      </c>
      <c r="X296" t="s">
        <v>55</v>
      </c>
      <c r="Y296" t="s">
        <v>56</v>
      </c>
      <c r="Z296" t="s">
        <v>807</v>
      </c>
      <c r="AA296">
        <v>2120201</v>
      </c>
      <c r="AB296" t="s">
        <v>1643</v>
      </c>
      <c r="AC296">
        <v>3</v>
      </c>
    </row>
    <row r="297" spans="1:43" ht="60" hidden="1">
      <c r="B297">
        <v>9</v>
      </c>
      <c r="C297">
        <v>890937010</v>
      </c>
      <c r="D297" t="s">
        <v>208</v>
      </c>
      <c r="E297" t="s">
        <v>208</v>
      </c>
      <c r="F297">
        <v>890937010</v>
      </c>
      <c r="G297" t="s">
        <v>208</v>
      </c>
      <c r="H297" t="s">
        <v>210</v>
      </c>
      <c r="I297" t="s">
        <v>211</v>
      </c>
      <c r="J297" t="s">
        <v>47</v>
      </c>
      <c r="K297" t="s">
        <v>48</v>
      </c>
      <c r="L297">
        <v>12</v>
      </c>
      <c r="M297">
        <v>6</v>
      </c>
      <c r="N297">
        <v>10</v>
      </c>
      <c r="O297" t="s">
        <v>49</v>
      </c>
      <c r="P297" t="s">
        <v>63</v>
      </c>
      <c r="Q297" t="s">
        <v>1644</v>
      </c>
      <c r="R297">
        <v>2024</v>
      </c>
      <c r="S297" t="s">
        <v>52</v>
      </c>
      <c r="T297" t="s">
        <v>53</v>
      </c>
      <c r="U297" s="8">
        <v>45553.391701388886</v>
      </c>
      <c r="V297" s="2" t="s">
        <v>1645</v>
      </c>
      <c r="X297" t="s">
        <v>55</v>
      </c>
      <c r="Y297" t="s">
        <v>56</v>
      </c>
      <c r="Z297" t="s">
        <v>807</v>
      </c>
      <c r="AA297">
        <v>4442388</v>
      </c>
      <c r="AB297" t="s">
        <v>214</v>
      </c>
      <c r="AC297">
        <v>3</v>
      </c>
    </row>
    <row r="298" spans="1:43" ht="45" hidden="1">
      <c r="B298">
        <v>9</v>
      </c>
      <c r="C298">
        <v>900699244</v>
      </c>
      <c r="D298" t="s">
        <v>1646</v>
      </c>
      <c r="E298" t="s">
        <v>1647</v>
      </c>
      <c r="F298">
        <v>900699244</v>
      </c>
      <c r="G298" t="s">
        <v>1647</v>
      </c>
      <c r="H298" t="s">
        <v>1648</v>
      </c>
      <c r="I298" t="s">
        <v>791</v>
      </c>
      <c r="J298" t="s">
        <v>114</v>
      </c>
      <c r="K298" t="s">
        <v>48</v>
      </c>
      <c r="L298">
        <v>12</v>
      </c>
      <c r="M298">
        <v>5</v>
      </c>
      <c r="N298">
        <v>10</v>
      </c>
      <c r="O298" t="s">
        <v>49</v>
      </c>
      <c r="P298" t="s">
        <v>63</v>
      </c>
      <c r="Q298" t="s">
        <v>1649</v>
      </c>
      <c r="R298">
        <v>2024</v>
      </c>
      <c r="S298" t="s">
        <v>52</v>
      </c>
      <c r="T298" t="s">
        <v>116</v>
      </c>
      <c r="U298" s="8">
        <v>45553.423252314817</v>
      </c>
      <c r="V298" s="2" t="s">
        <v>1650</v>
      </c>
      <c r="X298" t="s">
        <v>55</v>
      </c>
      <c r="Y298" t="s">
        <v>56</v>
      </c>
      <c r="Z298" t="s">
        <v>807</v>
      </c>
      <c r="AA298">
        <v>3233577651</v>
      </c>
      <c r="AB298" t="s">
        <v>1651</v>
      </c>
      <c r="AC298">
        <v>3</v>
      </c>
    </row>
    <row r="299" spans="1:43" ht="60" hidden="1">
      <c r="B299">
        <v>9</v>
      </c>
      <c r="C299">
        <v>890912426</v>
      </c>
      <c r="D299" t="s">
        <v>1107</v>
      </c>
      <c r="E299" t="s">
        <v>1107</v>
      </c>
      <c r="F299">
        <v>890912426</v>
      </c>
      <c r="G299" t="s">
        <v>1107</v>
      </c>
      <c r="H299" t="s">
        <v>1108</v>
      </c>
      <c r="I299" t="s">
        <v>211</v>
      </c>
      <c r="J299" t="s">
        <v>47</v>
      </c>
      <c r="K299" t="s">
        <v>49</v>
      </c>
      <c r="L299">
        <v>11</v>
      </c>
      <c r="M299">
        <v>11</v>
      </c>
      <c r="N299">
        <v>9</v>
      </c>
      <c r="O299" t="s">
        <v>49</v>
      </c>
      <c r="P299" t="s">
        <v>63</v>
      </c>
      <c r="Q299" t="s">
        <v>1652</v>
      </c>
      <c r="R299">
        <v>2024</v>
      </c>
      <c r="S299" t="s">
        <v>124</v>
      </c>
      <c r="T299" t="s">
        <v>1653</v>
      </c>
      <c r="U299" s="8">
        <v>45554.653263888889</v>
      </c>
      <c r="V299" s="2" t="s">
        <v>1654</v>
      </c>
      <c r="X299" t="s">
        <v>1252</v>
      </c>
      <c r="Z299" t="s">
        <v>807</v>
      </c>
      <c r="AA299">
        <v>4444624</v>
      </c>
      <c r="AB299" t="s">
        <v>1111</v>
      </c>
      <c r="AC299">
        <v>3</v>
      </c>
    </row>
    <row r="300" spans="1:43" ht="45" hidden="1">
      <c r="A300" s="15"/>
      <c r="B300" s="15">
        <v>9</v>
      </c>
      <c r="C300" s="15">
        <v>901454302</v>
      </c>
      <c r="D300" s="29" t="s">
        <v>1272</v>
      </c>
      <c r="E300" s="15" t="s">
        <v>1272</v>
      </c>
      <c r="F300" s="15">
        <v>901454302</v>
      </c>
      <c r="G300" s="15" t="s">
        <v>1272</v>
      </c>
      <c r="H300" s="15" t="s">
        <v>1273</v>
      </c>
      <c r="I300" s="15" t="s">
        <v>211</v>
      </c>
      <c r="J300" s="15" t="s">
        <v>47</v>
      </c>
      <c r="K300" s="15" t="s">
        <v>49</v>
      </c>
      <c r="L300" s="15">
        <v>7</v>
      </c>
      <c r="M300" s="15">
        <v>3</v>
      </c>
      <c r="N300" s="15">
        <v>5</v>
      </c>
      <c r="O300" s="15" t="s">
        <v>436</v>
      </c>
      <c r="P300" s="15" t="s">
        <v>63</v>
      </c>
      <c r="Q300" s="15" t="s">
        <v>1655</v>
      </c>
      <c r="R300" s="15">
        <v>2024</v>
      </c>
      <c r="S300" s="15" t="s">
        <v>65</v>
      </c>
      <c r="T300" s="15" t="s">
        <v>66</v>
      </c>
      <c r="U300" s="25">
        <v>45558.506342592591</v>
      </c>
      <c r="V300" s="14" t="s">
        <v>1656</v>
      </c>
      <c r="W300" s="15"/>
      <c r="X300" s="15" t="s">
        <v>1354</v>
      </c>
      <c r="Y300" s="15"/>
      <c r="Z300" s="15" t="s">
        <v>807</v>
      </c>
      <c r="AA300" s="15">
        <v>3207957137</v>
      </c>
      <c r="AB300" s="15" t="s">
        <v>1276</v>
      </c>
      <c r="AC300" s="15">
        <v>7</v>
      </c>
      <c r="AD300" s="14" t="s">
        <v>589</v>
      </c>
      <c r="AE300" t="s">
        <v>1657</v>
      </c>
      <c r="AF300" t="s">
        <v>1193</v>
      </c>
      <c r="AG300" s="15" t="s">
        <v>592</v>
      </c>
      <c r="AH300" s="15" t="s">
        <v>55</v>
      </c>
      <c r="AI300" s="25">
        <v>45575</v>
      </c>
      <c r="AJ300" s="33"/>
      <c r="AK300" s="33"/>
      <c r="AL300" s="14" t="s">
        <v>594</v>
      </c>
      <c r="AM300" s="14" t="s">
        <v>607</v>
      </c>
      <c r="AN300" s="15" t="s">
        <v>758</v>
      </c>
      <c r="AO300" s="14" t="s">
        <v>1658</v>
      </c>
      <c r="AP300" s="37">
        <v>182000</v>
      </c>
      <c r="AQ300" s="14" t="s">
        <v>598</v>
      </c>
    </row>
    <row r="301" spans="1:43" ht="30" hidden="1">
      <c r="B301">
        <v>9</v>
      </c>
      <c r="C301">
        <v>15539441</v>
      </c>
      <c r="D301" t="s">
        <v>1659</v>
      </c>
      <c r="E301" t="s">
        <v>1659</v>
      </c>
      <c r="F301">
        <v>15539441</v>
      </c>
      <c r="G301" t="s">
        <v>1659</v>
      </c>
      <c r="H301" t="s">
        <v>1660</v>
      </c>
      <c r="I301" t="s">
        <v>1661</v>
      </c>
      <c r="J301" t="s">
        <v>47</v>
      </c>
      <c r="K301" t="s">
        <v>48</v>
      </c>
      <c r="L301">
        <v>7</v>
      </c>
      <c r="M301">
        <v>7</v>
      </c>
      <c r="N301">
        <v>5</v>
      </c>
      <c r="O301" t="s">
        <v>48</v>
      </c>
      <c r="P301" t="s">
        <v>63</v>
      </c>
      <c r="Q301" t="s">
        <v>1662</v>
      </c>
      <c r="R301">
        <v>2024</v>
      </c>
      <c r="S301" t="s">
        <v>190</v>
      </c>
      <c r="T301" t="s">
        <v>713</v>
      </c>
      <c r="U301" s="8">
        <v>45558.603495370371</v>
      </c>
      <c r="V301" s="2" t="s">
        <v>1663</v>
      </c>
      <c r="X301" t="s">
        <v>55</v>
      </c>
      <c r="Y301" t="s">
        <v>56</v>
      </c>
      <c r="Z301" t="s">
        <v>807</v>
      </c>
      <c r="AA301">
        <v>3103945156</v>
      </c>
      <c r="AB301" t="s">
        <v>1664</v>
      </c>
      <c r="AC301">
        <v>2</v>
      </c>
    </row>
    <row r="302" spans="1:43" ht="45" hidden="1">
      <c r="B302">
        <v>9</v>
      </c>
      <c r="C302">
        <v>901400279</v>
      </c>
      <c r="D302" t="s">
        <v>1665</v>
      </c>
      <c r="E302" t="s">
        <v>1665</v>
      </c>
      <c r="F302">
        <v>901400279</v>
      </c>
      <c r="G302" t="s">
        <v>1665</v>
      </c>
      <c r="H302" t="s">
        <v>1666</v>
      </c>
      <c r="I302" t="s">
        <v>1661</v>
      </c>
      <c r="J302" t="s">
        <v>47</v>
      </c>
      <c r="K302" t="s">
        <v>48</v>
      </c>
      <c r="L302">
        <v>7</v>
      </c>
      <c r="M302">
        <v>7</v>
      </c>
      <c r="N302">
        <v>5</v>
      </c>
      <c r="O302" t="s">
        <v>48</v>
      </c>
      <c r="P302" t="s">
        <v>63</v>
      </c>
      <c r="Q302" t="s">
        <v>1667</v>
      </c>
      <c r="R302">
        <v>2024</v>
      </c>
      <c r="S302" t="s">
        <v>190</v>
      </c>
      <c r="T302" t="s">
        <v>713</v>
      </c>
      <c r="U302" s="8">
        <v>45558.605462962965</v>
      </c>
      <c r="V302" s="2" t="s">
        <v>1668</v>
      </c>
      <c r="X302" t="s">
        <v>55</v>
      </c>
      <c r="Y302" t="s">
        <v>56</v>
      </c>
      <c r="Z302" t="s">
        <v>807</v>
      </c>
      <c r="AA302">
        <v>8310332</v>
      </c>
      <c r="AB302" t="s">
        <v>1669</v>
      </c>
      <c r="AC302">
        <v>2</v>
      </c>
    </row>
    <row r="303" spans="1:43" ht="60" hidden="1">
      <c r="A303" s="15"/>
      <c r="B303" s="15">
        <v>9</v>
      </c>
      <c r="C303" s="15">
        <v>39791832</v>
      </c>
      <c r="D303" s="29" t="s">
        <v>741</v>
      </c>
      <c r="E303" s="15" t="s">
        <v>742</v>
      </c>
      <c r="F303" s="15">
        <v>39791832</v>
      </c>
      <c r="G303" s="15" t="s">
        <v>742</v>
      </c>
      <c r="H303" s="15" t="s">
        <v>744</v>
      </c>
      <c r="I303" s="15" t="s">
        <v>235</v>
      </c>
      <c r="J303" s="15" t="s">
        <v>114</v>
      </c>
      <c r="K303" s="15" t="s">
        <v>48</v>
      </c>
      <c r="L303" s="15">
        <v>7</v>
      </c>
      <c r="M303" s="15">
        <v>3</v>
      </c>
      <c r="N303" s="15">
        <v>5</v>
      </c>
      <c r="O303" s="15" t="s">
        <v>62</v>
      </c>
      <c r="P303" s="15" t="s">
        <v>236</v>
      </c>
      <c r="Q303" s="15" t="s">
        <v>1670</v>
      </c>
      <c r="R303" s="15">
        <v>2024</v>
      </c>
      <c r="S303" s="15" t="s">
        <v>124</v>
      </c>
      <c r="T303" s="15" t="s">
        <v>284</v>
      </c>
      <c r="U303" s="25">
        <v>45558.626168981478</v>
      </c>
      <c r="V303" s="19" t="s">
        <v>1671</v>
      </c>
      <c r="W303" s="15"/>
      <c r="X303" s="15" t="s">
        <v>55</v>
      </c>
      <c r="Y303" s="15" t="s">
        <v>56</v>
      </c>
      <c r="Z303" s="15" t="s">
        <v>807</v>
      </c>
      <c r="AA303" s="15">
        <v>2635588</v>
      </c>
      <c r="AB303" s="15" t="s">
        <v>747</v>
      </c>
      <c r="AC303" s="15">
        <v>6</v>
      </c>
      <c r="AD303" s="14" t="s">
        <v>91</v>
      </c>
      <c r="AE303" s="15"/>
      <c r="AF303" s="30" t="s">
        <v>1672</v>
      </c>
      <c r="AG303" s="15" t="s">
        <v>592</v>
      </c>
      <c r="AH303" s="15" t="s">
        <v>55</v>
      </c>
      <c r="AI303" s="25">
        <v>45561</v>
      </c>
      <c r="AJ303" s="33"/>
      <c r="AK303" s="33"/>
      <c r="AL303" s="14" t="s">
        <v>594</v>
      </c>
      <c r="AM303" s="14" t="s">
        <v>595</v>
      </c>
      <c r="AN303" s="14" t="s">
        <v>1361</v>
      </c>
      <c r="AO303" s="14"/>
      <c r="AP303" s="35">
        <v>193208</v>
      </c>
      <c r="AQ303" s="14" t="s">
        <v>598</v>
      </c>
    </row>
    <row r="304" spans="1:43" ht="90" hidden="1">
      <c r="B304">
        <v>9</v>
      </c>
      <c r="C304">
        <v>10173698</v>
      </c>
      <c r="D304" t="s">
        <v>1673</v>
      </c>
      <c r="E304" t="s">
        <v>1673</v>
      </c>
      <c r="F304">
        <v>10173698</v>
      </c>
      <c r="G304" t="s">
        <v>1673</v>
      </c>
      <c r="H304" t="s">
        <v>1674</v>
      </c>
      <c r="I304" t="s">
        <v>681</v>
      </c>
      <c r="J304" t="s">
        <v>114</v>
      </c>
      <c r="K304" t="s">
        <v>48</v>
      </c>
      <c r="L304">
        <v>7</v>
      </c>
      <c r="M304">
        <v>3</v>
      </c>
      <c r="N304">
        <v>5</v>
      </c>
      <c r="O304" t="s">
        <v>48</v>
      </c>
      <c r="P304" t="s">
        <v>228</v>
      </c>
      <c r="Q304" t="s">
        <v>1675</v>
      </c>
      <c r="R304">
        <v>2024</v>
      </c>
      <c r="S304" t="s">
        <v>52</v>
      </c>
      <c r="T304" t="s">
        <v>661</v>
      </c>
      <c r="U304" s="8">
        <v>45558.633344907408</v>
      </c>
      <c r="V304" s="2" t="s">
        <v>1676</v>
      </c>
      <c r="X304" t="s">
        <v>55</v>
      </c>
      <c r="Y304" t="s">
        <v>56</v>
      </c>
      <c r="Z304" t="s">
        <v>807</v>
      </c>
      <c r="AA304">
        <v>8577004</v>
      </c>
      <c r="AB304" t="s">
        <v>1677</v>
      </c>
      <c r="AC304">
        <v>2</v>
      </c>
    </row>
    <row r="305" spans="1:43" ht="60" hidden="1">
      <c r="B305">
        <v>9</v>
      </c>
      <c r="C305">
        <v>39791832</v>
      </c>
      <c r="D305" t="s">
        <v>741</v>
      </c>
      <c r="E305" t="s">
        <v>742</v>
      </c>
      <c r="F305">
        <v>39791832</v>
      </c>
      <c r="G305" t="s">
        <v>742</v>
      </c>
      <c r="H305" t="s">
        <v>744</v>
      </c>
      <c r="I305" t="s">
        <v>235</v>
      </c>
      <c r="J305" t="s">
        <v>114</v>
      </c>
      <c r="K305" t="s">
        <v>49</v>
      </c>
      <c r="L305">
        <v>7</v>
      </c>
      <c r="M305">
        <v>7</v>
      </c>
      <c r="N305">
        <v>5</v>
      </c>
      <c r="O305" t="s">
        <v>49</v>
      </c>
      <c r="P305" t="s">
        <v>236</v>
      </c>
      <c r="Q305" t="s">
        <v>1678</v>
      </c>
      <c r="R305">
        <v>2024</v>
      </c>
      <c r="S305" t="s">
        <v>52</v>
      </c>
      <c r="T305" t="s">
        <v>116</v>
      </c>
      <c r="U305" s="8">
        <v>45558.639120370368</v>
      </c>
      <c r="V305" s="2" t="s">
        <v>1679</v>
      </c>
      <c r="X305" t="s">
        <v>1252</v>
      </c>
      <c r="Z305" t="s">
        <v>807</v>
      </c>
      <c r="AA305">
        <v>2635588</v>
      </c>
      <c r="AB305" t="s">
        <v>747</v>
      </c>
      <c r="AC305">
        <v>3</v>
      </c>
    </row>
    <row r="306" spans="1:43" ht="45" hidden="1">
      <c r="B306">
        <v>9</v>
      </c>
      <c r="C306">
        <v>10172001</v>
      </c>
      <c r="D306" t="s">
        <v>678</v>
      </c>
      <c r="E306" t="s">
        <v>679</v>
      </c>
      <c r="F306">
        <v>10172001</v>
      </c>
      <c r="G306" t="s">
        <v>679</v>
      </c>
      <c r="H306" t="s">
        <v>680</v>
      </c>
      <c r="I306" t="s">
        <v>681</v>
      </c>
      <c r="J306" t="s">
        <v>47</v>
      </c>
      <c r="K306" t="s">
        <v>48</v>
      </c>
      <c r="L306">
        <v>7</v>
      </c>
      <c r="M306">
        <v>7</v>
      </c>
      <c r="N306">
        <v>5</v>
      </c>
      <c r="O306" t="s">
        <v>48</v>
      </c>
      <c r="P306" t="s">
        <v>228</v>
      </c>
      <c r="Q306" t="s">
        <v>1680</v>
      </c>
      <c r="R306">
        <v>2024</v>
      </c>
      <c r="S306" t="s">
        <v>190</v>
      </c>
      <c r="T306" t="s">
        <v>713</v>
      </c>
      <c r="U306" s="8">
        <v>45558.662708333337</v>
      </c>
      <c r="V306" s="2" t="s">
        <v>1681</v>
      </c>
      <c r="X306" t="s">
        <v>55</v>
      </c>
      <c r="Y306" t="s">
        <v>56</v>
      </c>
      <c r="Z306" t="s">
        <v>807</v>
      </c>
      <c r="AA306">
        <v>3114813031</v>
      </c>
      <c r="AB306" t="s">
        <v>684</v>
      </c>
      <c r="AC306">
        <v>2</v>
      </c>
    </row>
    <row r="307" spans="1:43" ht="75" hidden="1">
      <c r="A307" s="15"/>
      <c r="B307" s="15">
        <v>9</v>
      </c>
      <c r="C307" s="15">
        <v>900727436</v>
      </c>
      <c r="D307" s="29" t="s">
        <v>1682</v>
      </c>
      <c r="E307" s="15" t="s">
        <v>1682</v>
      </c>
      <c r="F307" s="15">
        <v>900727436</v>
      </c>
      <c r="G307" s="15" t="s">
        <v>1682</v>
      </c>
      <c r="H307" s="15" t="s">
        <v>1683</v>
      </c>
      <c r="I307" s="15" t="s">
        <v>1537</v>
      </c>
      <c r="J307" s="15" t="s">
        <v>114</v>
      </c>
      <c r="K307" s="15" t="s">
        <v>436</v>
      </c>
      <c r="L307" s="15">
        <v>6</v>
      </c>
      <c r="M307" s="15">
        <v>6</v>
      </c>
      <c r="N307" s="15">
        <v>4</v>
      </c>
      <c r="O307" s="15" t="s">
        <v>436</v>
      </c>
      <c r="P307" s="15" t="s">
        <v>63</v>
      </c>
      <c r="Q307" s="15" t="s">
        <v>1684</v>
      </c>
      <c r="R307" s="15">
        <v>2024</v>
      </c>
      <c r="S307" s="15" t="s">
        <v>124</v>
      </c>
      <c r="T307" s="15" t="s">
        <v>313</v>
      </c>
      <c r="U307" s="25">
        <v>45559.467002314814</v>
      </c>
      <c r="V307" s="14" t="s">
        <v>1685</v>
      </c>
      <c r="W307" s="15"/>
      <c r="X307" s="15" t="s">
        <v>1252</v>
      </c>
      <c r="Y307" s="15"/>
      <c r="Z307" s="15" t="s">
        <v>807</v>
      </c>
      <c r="AA307" s="15">
        <v>8536522</v>
      </c>
      <c r="AB307" s="15" t="s">
        <v>1686</v>
      </c>
      <c r="AC307" s="15">
        <v>7</v>
      </c>
      <c r="AD307" s="14" t="s">
        <v>439</v>
      </c>
      <c r="AE307" s="15"/>
      <c r="AF307" s="30" t="s">
        <v>1687</v>
      </c>
      <c r="AG307" s="15" t="s">
        <v>592</v>
      </c>
      <c r="AH307" s="15" t="s">
        <v>55</v>
      </c>
      <c r="AI307" s="25">
        <v>45569</v>
      </c>
      <c r="AJ307" s="33"/>
      <c r="AK307" s="33"/>
      <c r="AL307" s="14" t="s">
        <v>594</v>
      </c>
      <c r="AM307" s="14" t="s">
        <v>595</v>
      </c>
      <c r="AN307" s="15" t="s">
        <v>656</v>
      </c>
      <c r="AO307" s="14" t="s">
        <v>1688</v>
      </c>
      <c r="AP307" s="37">
        <f>1634740+1025912</f>
        <v>2660652</v>
      </c>
      <c r="AQ307" s="14" t="s">
        <v>973</v>
      </c>
    </row>
    <row r="308" spans="1:43" ht="60" hidden="1">
      <c r="B308">
        <v>9</v>
      </c>
      <c r="C308">
        <v>901116465</v>
      </c>
      <c r="D308" t="s">
        <v>1689</v>
      </c>
      <c r="E308" t="s">
        <v>1690</v>
      </c>
      <c r="F308">
        <v>901116465</v>
      </c>
      <c r="G308" t="s">
        <v>1690</v>
      </c>
      <c r="H308" t="s">
        <v>1691</v>
      </c>
      <c r="I308" t="s">
        <v>1555</v>
      </c>
      <c r="J308" t="s">
        <v>47</v>
      </c>
      <c r="K308" t="s">
        <v>49</v>
      </c>
      <c r="L308">
        <v>5</v>
      </c>
      <c r="M308">
        <v>5</v>
      </c>
      <c r="N308">
        <v>3</v>
      </c>
      <c r="O308" t="s">
        <v>49</v>
      </c>
      <c r="P308" t="s">
        <v>1556</v>
      </c>
      <c r="Q308" t="s">
        <v>1692</v>
      </c>
      <c r="R308">
        <v>2024</v>
      </c>
      <c r="S308" t="s">
        <v>124</v>
      </c>
      <c r="T308" t="s">
        <v>1099</v>
      </c>
      <c r="U308" s="8">
        <v>45560.616956018515</v>
      </c>
      <c r="V308" s="2" t="s">
        <v>1693</v>
      </c>
      <c r="X308" t="s">
        <v>1252</v>
      </c>
      <c r="Z308" t="s">
        <v>807</v>
      </c>
      <c r="AA308">
        <v>7344847</v>
      </c>
      <c r="AB308" t="s">
        <v>1694</v>
      </c>
      <c r="AC308">
        <v>3</v>
      </c>
    </row>
    <row r="309" spans="1:43" ht="45" hidden="1">
      <c r="B309">
        <v>9</v>
      </c>
      <c r="C309">
        <v>1018350877</v>
      </c>
      <c r="D309" t="s">
        <v>1695</v>
      </c>
      <c r="E309" t="s">
        <v>1696</v>
      </c>
      <c r="F309">
        <v>1018350877</v>
      </c>
      <c r="G309" t="s">
        <v>1696</v>
      </c>
      <c r="H309" t="s">
        <v>1697</v>
      </c>
      <c r="I309" t="s">
        <v>958</v>
      </c>
      <c r="J309" t="s">
        <v>114</v>
      </c>
      <c r="K309" t="s">
        <v>49</v>
      </c>
      <c r="L309">
        <v>5</v>
      </c>
      <c r="M309">
        <v>5</v>
      </c>
      <c r="N309">
        <v>3</v>
      </c>
      <c r="O309" t="s">
        <v>49</v>
      </c>
      <c r="P309" t="s">
        <v>63</v>
      </c>
      <c r="Q309" t="s">
        <v>1698</v>
      </c>
      <c r="R309">
        <v>2024</v>
      </c>
      <c r="S309" t="s">
        <v>52</v>
      </c>
      <c r="T309" t="s">
        <v>116</v>
      </c>
      <c r="U309" s="8">
        <v>45560.625810185185</v>
      </c>
      <c r="V309" s="2" t="s">
        <v>1699</v>
      </c>
      <c r="X309" t="s">
        <v>1252</v>
      </c>
      <c r="Z309" t="s">
        <v>807</v>
      </c>
      <c r="AA309">
        <v>3137490661</v>
      </c>
      <c r="AB309" t="s">
        <v>1700</v>
      </c>
      <c r="AC309">
        <v>3</v>
      </c>
    </row>
    <row r="310" spans="1:43" ht="45" hidden="1">
      <c r="B310">
        <v>9</v>
      </c>
      <c r="C310">
        <v>814001969</v>
      </c>
      <c r="D310" t="s">
        <v>1701</v>
      </c>
      <c r="E310" t="s">
        <v>1701</v>
      </c>
      <c r="F310">
        <v>814001969</v>
      </c>
      <c r="G310" t="s">
        <v>1701</v>
      </c>
      <c r="H310" t="s">
        <v>1702</v>
      </c>
      <c r="I310" t="s">
        <v>84</v>
      </c>
      <c r="J310" t="s">
        <v>47</v>
      </c>
      <c r="K310" t="s">
        <v>49</v>
      </c>
      <c r="L310">
        <v>5</v>
      </c>
      <c r="M310">
        <v>5</v>
      </c>
      <c r="N310">
        <v>3</v>
      </c>
      <c r="O310" t="s">
        <v>49</v>
      </c>
      <c r="P310" t="s">
        <v>85</v>
      </c>
      <c r="Q310" t="s">
        <v>1703</v>
      </c>
      <c r="R310">
        <v>2024</v>
      </c>
      <c r="S310" t="s">
        <v>65</v>
      </c>
      <c r="T310" t="s">
        <v>125</v>
      </c>
      <c r="U310" s="8">
        <v>45560.639722222222</v>
      </c>
      <c r="V310" s="2" t="s">
        <v>1704</v>
      </c>
      <c r="X310" t="s">
        <v>1252</v>
      </c>
      <c r="Z310" t="s">
        <v>807</v>
      </c>
      <c r="AA310">
        <v>7216668</v>
      </c>
      <c r="AB310" t="s">
        <v>1705</v>
      </c>
      <c r="AC310">
        <v>3</v>
      </c>
    </row>
    <row r="311" spans="1:43" ht="75" hidden="1">
      <c r="A311" s="15"/>
      <c r="B311" s="15">
        <v>9</v>
      </c>
      <c r="C311" s="15">
        <v>900135125</v>
      </c>
      <c r="D311" s="29" t="s">
        <v>1706</v>
      </c>
      <c r="E311" s="15" t="s">
        <v>1707</v>
      </c>
      <c r="F311" s="15">
        <v>900135125</v>
      </c>
      <c r="G311" s="15" t="s">
        <v>1707</v>
      </c>
      <c r="H311" s="15" t="s">
        <v>1708</v>
      </c>
      <c r="I311" s="15" t="s">
        <v>211</v>
      </c>
      <c r="J311" s="15" t="s">
        <v>114</v>
      </c>
      <c r="K311" s="15" t="s">
        <v>62</v>
      </c>
      <c r="L311" s="15">
        <v>0</v>
      </c>
      <c r="M311" s="15">
        <v>0</v>
      </c>
      <c r="N311" s="15">
        <v>-2</v>
      </c>
      <c r="O311" s="15" t="s">
        <v>62</v>
      </c>
      <c r="P311" s="15" t="s">
        <v>63</v>
      </c>
      <c r="Q311" s="15" t="s">
        <v>1709</v>
      </c>
      <c r="R311" s="15">
        <v>2024</v>
      </c>
      <c r="S311" s="15" t="s">
        <v>124</v>
      </c>
      <c r="T311" s="15" t="s">
        <v>284</v>
      </c>
      <c r="U311" s="25">
        <v>45565.352696759262</v>
      </c>
      <c r="V311" s="14" t="s">
        <v>1710</v>
      </c>
      <c r="W311" s="15"/>
      <c r="X311" s="15" t="s">
        <v>1252</v>
      </c>
      <c r="Y311" s="15"/>
      <c r="Z311" s="15" t="s">
        <v>807</v>
      </c>
      <c r="AA311" s="15">
        <v>4444980</v>
      </c>
      <c r="AB311" s="15" t="s">
        <v>1711</v>
      </c>
      <c r="AC311" s="15">
        <v>6</v>
      </c>
      <c r="AD311" s="14" t="s">
        <v>70</v>
      </c>
      <c r="AE311" s="15"/>
      <c r="AF311" s="30" t="s">
        <v>1497</v>
      </c>
      <c r="AG311" s="15" t="s">
        <v>592</v>
      </c>
      <c r="AH311" s="15" t="s">
        <v>55</v>
      </c>
      <c r="AI311" s="25">
        <v>45577</v>
      </c>
      <c r="AJ311" s="33"/>
      <c r="AK311" s="33"/>
      <c r="AL311" s="14" t="s">
        <v>594</v>
      </c>
      <c r="AM311" s="14" t="s">
        <v>607</v>
      </c>
      <c r="AN311" s="13" t="s">
        <v>328</v>
      </c>
      <c r="AO311" s="14" t="s">
        <v>1712</v>
      </c>
      <c r="AP311" s="37"/>
      <c r="AQ311" s="14" t="s">
        <v>973</v>
      </c>
    </row>
    <row r="312" spans="1:43" ht="60" hidden="1">
      <c r="B312">
        <v>9</v>
      </c>
      <c r="C312">
        <v>901529563</v>
      </c>
      <c r="D312" t="s">
        <v>1713</v>
      </c>
      <c r="E312" t="s">
        <v>1713</v>
      </c>
      <c r="F312">
        <v>901529563</v>
      </c>
      <c r="G312" t="s">
        <v>1713</v>
      </c>
      <c r="H312" t="s">
        <v>1714</v>
      </c>
      <c r="I312" t="s">
        <v>104</v>
      </c>
      <c r="J312" t="s">
        <v>47</v>
      </c>
      <c r="K312" t="s">
        <v>49</v>
      </c>
      <c r="L312">
        <v>0</v>
      </c>
      <c r="M312">
        <v>0</v>
      </c>
      <c r="N312">
        <v>-2</v>
      </c>
      <c r="O312" t="s">
        <v>49</v>
      </c>
      <c r="P312" t="s">
        <v>106</v>
      </c>
      <c r="Q312" t="s">
        <v>1715</v>
      </c>
      <c r="R312">
        <v>2024</v>
      </c>
      <c r="S312" t="s">
        <v>124</v>
      </c>
      <c r="T312" t="s">
        <v>1099</v>
      </c>
      <c r="U312" s="8">
        <v>45565.38726851852</v>
      </c>
      <c r="V312" s="2" t="s">
        <v>1716</v>
      </c>
      <c r="X312" t="s">
        <v>1252</v>
      </c>
      <c r="Z312" t="s">
        <v>807</v>
      </c>
      <c r="AA312">
        <v>3178705477</v>
      </c>
      <c r="AB312" t="s">
        <v>1717</v>
      </c>
      <c r="AC312">
        <v>3</v>
      </c>
    </row>
    <row r="313" spans="1:43" ht="60" hidden="1">
      <c r="B313">
        <v>9</v>
      </c>
      <c r="C313">
        <v>20886099</v>
      </c>
      <c r="D313" t="s">
        <v>1718</v>
      </c>
      <c r="E313" t="s">
        <v>1719</v>
      </c>
      <c r="F313">
        <v>20886099</v>
      </c>
      <c r="G313" t="s">
        <v>1719</v>
      </c>
      <c r="H313" t="s">
        <v>1720</v>
      </c>
      <c r="I313" t="s">
        <v>104</v>
      </c>
      <c r="J313" t="s">
        <v>47</v>
      </c>
      <c r="K313" t="s">
        <v>49</v>
      </c>
      <c r="L313">
        <v>0</v>
      </c>
      <c r="M313">
        <v>0</v>
      </c>
      <c r="N313">
        <v>-2</v>
      </c>
      <c r="O313" t="s">
        <v>49</v>
      </c>
      <c r="P313" t="s">
        <v>106</v>
      </c>
      <c r="Q313" t="s">
        <v>1721</v>
      </c>
      <c r="R313">
        <v>2024</v>
      </c>
      <c r="S313" t="s">
        <v>124</v>
      </c>
      <c r="T313" t="s">
        <v>1099</v>
      </c>
      <c r="U313" s="8">
        <v>45565.395983796298</v>
      </c>
      <c r="V313" s="2" t="s">
        <v>1722</v>
      </c>
      <c r="X313" t="s">
        <v>1252</v>
      </c>
      <c r="Z313" t="s">
        <v>807</v>
      </c>
      <c r="AA313">
        <v>2607466</v>
      </c>
      <c r="AB313" t="s">
        <v>1723</v>
      </c>
      <c r="AC313">
        <v>3</v>
      </c>
    </row>
    <row r="314" spans="1:43" ht="45" hidden="1">
      <c r="B314">
        <v>9</v>
      </c>
      <c r="C314">
        <v>901312619</v>
      </c>
      <c r="D314" t="s">
        <v>1724</v>
      </c>
      <c r="E314" t="s">
        <v>1725</v>
      </c>
      <c r="F314">
        <v>901312619</v>
      </c>
      <c r="G314" t="s">
        <v>1725</v>
      </c>
      <c r="H314" t="s">
        <v>1726</v>
      </c>
      <c r="I314" t="s">
        <v>104</v>
      </c>
      <c r="J314" t="s">
        <v>47</v>
      </c>
      <c r="K314" t="s">
        <v>49</v>
      </c>
      <c r="L314">
        <v>12</v>
      </c>
      <c r="M314">
        <v>12</v>
      </c>
      <c r="N314">
        <v>10</v>
      </c>
      <c r="O314" t="s">
        <v>49</v>
      </c>
      <c r="P314" t="s">
        <v>106</v>
      </c>
      <c r="Q314" t="s">
        <v>1727</v>
      </c>
      <c r="R314">
        <v>2024</v>
      </c>
      <c r="S314" t="s">
        <v>52</v>
      </c>
      <c r="T314" t="s">
        <v>53</v>
      </c>
      <c r="U314" s="8">
        <v>45565.415972222225</v>
      </c>
      <c r="V314" s="2" t="s">
        <v>1728</v>
      </c>
      <c r="X314" t="s">
        <v>1252</v>
      </c>
      <c r="Z314" t="s">
        <v>807</v>
      </c>
      <c r="AA314">
        <v>7776742</v>
      </c>
      <c r="AB314" t="s">
        <v>1729</v>
      </c>
      <c r="AC314">
        <v>3</v>
      </c>
    </row>
    <row r="315" spans="1:43" ht="90" hidden="1">
      <c r="B315">
        <v>9</v>
      </c>
      <c r="C315">
        <v>901150853</v>
      </c>
      <c r="D315" t="s">
        <v>1223</v>
      </c>
      <c r="E315" t="s">
        <v>1223</v>
      </c>
      <c r="F315">
        <v>901150853</v>
      </c>
      <c r="G315" t="s">
        <v>1223</v>
      </c>
      <c r="H315" t="s">
        <v>1224</v>
      </c>
      <c r="I315" t="s">
        <v>84</v>
      </c>
      <c r="J315" t="s">
        <v>47</v>
      </c>
      <c r="K315" t="s">
        <v>48</v>
      </c>
      <c r="L315">
        <v>12</v>
      </c>
      <c r="M315">
        <v>9</v>
      </c>
      <c r="N315">
        <v>10</v>
      </c>
      <c r="O315" t="s">
        <v>49</v>
      </c>
      <c r="P315" t="s">
        <v>85</v>
      </c>
      <c r="Q315" t="s">
        <v>1730</v>
      </c>
      <c r="R315">
        <v>2024</v>
      </c>
      <c r="S315" t="s">
        <v>52</v>
      </c>
      <c r="T315" t="s">
        <v>53</v>
      </c>
      <c r="U315" s="8">
        <v>45565.478101851855</v>
      </c>
      <c r="V315" s="2" t="s">
        <v>1731</v>
      </c>
      <c r="X315" t="s">
        <v>55</v>
      </c>
      <c r="Y315" t="s">
        <v>56</v>
      </c>
      <c r="Z315" t="s">
        <v>807</v>
      </c>
      <c r="AA315">
        <v>3206886397</v>
      </c>
      <c r="AB315" t="s">
        <v>1227</v>
      </c>
      <c r="AC315">
        <v>3</v>
      </c>
    </row>
    <row r="316" spans="1:43" ht="45" hidden="1">
      <c r="B316">
        <v>9</v>
      </c>
      <c r="C316">
        <v>20886099</v>
      </c>
      <c r="D316" t="s">
        <v>1718</v>
      </c>
      <c r="E316" t="s">
        <v>1719</v>
      </c>
      <c r="F316">
        <v>20886099</v>
      </c>
      <c r="G316" t="s">
        <v>1719</v>
      </c>
      <c r="H316" t="s">
        <v>1720</v>
      </c>
      <c r="I316" t="s">
        <v>104</v>
      </c>
      <c r="J316" t="s">
        <v>114</v>
      </c>
      <c r="K316" t="s">
        <v>48</v>
      </c>
      <c r="L316">
        <v>12</v>
      </c>
      <c r="M316">
        <v>12</v>
      </c>
      <c r="N316">
        <v>10</v>
      </c>
      <c r="O316" t="s">
        <v>49</v>
      </c>
      <c r="P316" t="s">
        <v>106</v>
      </c>
      <c r="Q316" t="s">
        <v>1732</v>
      </c>
      <c r="R316">
        <v>2024</v>
      </c>
      <c r="S316" t="s">
        <v>190</v>
      </c>
      <c r="T316" t="s">
        <v>1366</v>
      </c>
      <c r="U316" s="8">
        <v>45565.632303240738</v>
      </c>
      <c r="V316" s="2" t="s">
        <v>1733</v>
      </c>
      <c r="X316" t="s">
        <v>55</v>
      </c>
      <c r="Y316" t="s">
        <v>56</v>
      </c>
      <c r="Z316" t="s">
        <v>807</v>
      </c>
      <c r="AA316">
        <v>2607466</v>
      </c>
      <c r="AB316" t="s">
        <v>1723</v>
      </c>
      <c r="AC316">
        <v>3</v>
      </c>
    </row>
    <row r="317" spans="1:43" ht="75" hidden="1">
      <c r="B317">
        <v>10</v>
      </c>
      <c r="C317">
        <v>12975282</v>
      </c>
      <c r="D317" t="s">
        <v>994</v>
      </c>
      <c r="E317" t="s">
        <v>995</v>
      </c>
      <c r="F317">
        <v>12975282</v>
      </c>
      <c r="G317" t="s">
        <v>995</v>
      </c>
      <c r="H317" t="s">
        <v>996</v>
      </c>
      <c r="I317" t="s">
        <v>84</v>
      </c>
      <c r="J317" t="s">
        <v>47</v>
      </c>
      <c r="K317" t="s">
        <v>48</v>
      </c>
      <c r="L317">
        <v>9</v>
      </c>
      <c r="M317">
        <v>8</v>
      </c>
      <c r="N317">
        <v>7</v>
      </c>
      <c r="O317" t="s">
        <v>49</v>
      </c>
      <c r="P317" t="s">
        <v>85</v>
      </c>
      <c r="Q317" t="s">
        <v>1734</v>
      </c>
      <c r="R317">
        <v>2024</v>
      </c>
      <c r="S317" t="s">
        <v>52</v>
      </c>
      <c r="T317" t="s">
        <v>53</v>
      </c>
      <c r="U317" s="8">
        <v>45568.5315162037</v>
      </c>
      <c r="V317" s="2" t="s">
        <v>1735</v>
      </c>
      <c r="X317" t="s">
        <v>55</v>
      </c>
      <c r="Y317" t="s">
        <v>56</v>
      </c>
      <c r="Z317" t="s">
        <v>807</v>
      </c>
      <c r="AA317">
        <v>7203174</v>
      </c>
      <c r="AB317" t="s">
        <v>999</v>
      </c>
      <c r="AC317">
        <v>3</v>
      </c>
    </row>
    <row r="318" spans="1:43" ht="60" hidden="1">
      <c r="B318">
        <v>10</v>
      </c>
      <c r="C318">
        <v>71142105</v>
      </c>
      <c r="D318" t="s">
        <v>1736</v>
      </c>
      <c r="E318" t="s">
        <v>1737</v>
      </c>
      <c r="F318">
        <v>71142105</v>
      </c>
      <c r="G318" t="s">
        <v>1737</v>
      </c>
      <c r="H318" t="s">
        <v>1738</v>
      </c>
      <c r="I318" t="s">
        <v>1739</v>
      </c>
      <c r="J318" t="s">
        <v>47</v>
      </c>
      <c r="K318" t="s">
        <v>48</v>
      </c>
      <c r="L318">
        <v>9</v>
      </c>
      <c r="M318">
        <v>8</v>
      </c>
      <c r="N318">
        <v>7</v>
      </c>
      <c r="O318" t="s">
        <v>48</v>
      </c>
      <c r="P318" t="s">
        <v>63</v>
      </c>
      <c r="Q318" t="s">
        <v>1740</v>
      </c>
      <c r="R318">
        <v>2024</v>
      </c>
      <c r="S318" t="s">
        <v>65</v>
      </c>
      <c r="T318" t="s">
        <v>293</v>
      </c>
      <c r="U318" s="8">
        <v>45568.595949074072</v>
      </c>
      <c r="V318" s="2" t="s">
        <v>1741</v>
      </c>
      <c r="X318" t="s">
        <v>55</v>
      </c>
      <c r="Y318" t="s">
        <v>56</v>
      </c>
      <c r="Z318" t="s">
        <v>807</v>
      </c>
      <c r="AA318">
        <v>8464867</v>
      </c>
      <c r="AB318" t="s">
        <v>1742</v>
      </c>
      <c r="AC318">
        <v>2</v>
      </c>
    </row>
    <row r="319" spans="1:43" ht="90" hidden="1">
      <c r="B319">
        <v>10</v>
      </c>
      <c r="C319">
        <v>901218889</v>
      </c>
      <c r="D319" t="s">
        <v>1743</v>
      </c>
      <c r="E319" t="s">
        <v>1743</v>
      </c>
      <c r="F319">
        <v>901218889</v>
      </c>
      <c r="G319" t="s">
        <v>1743</v>
      </c>
      <c r="H319" t="s">
        <v>1744</v>
      </c>
      <c r="I319" t="s">
        <v>187</v>
      </c>
      <c r="J319" t="s">
        <v>47</v>
      </c>
      <c r="K319" t="s">
        <v>48</v>
      </c>
      <c r="L319">
        <v>9</v>
      </c>
      <c r="M319">
        <v>8</v>
      </c>
      <c r="N319">
        <v>7</v>
      </c>
      <c r="O319" t="s">
        <v>48</v>
      </c>
      <c r="P319" t="s">
        <v>188</v>
      </c>
      <c r="Q319" t="s">
        <v>1745</v>
      </c>
      <c r="R319">
        <v>2024</v>
      </c>
      <c r="S319" t="s">
        <v>52</v>
      </c>
      <c r="T319" t="s">
        <v>1036</v>
      </c>
      <c r="U319" s="8">
        <v>45568.614652777775</v>
      </c>
      <c r="V319" s="2" t="s">
        <v>1746</v>
      </c>
      <c r="X319" t="s">
        <v>1252</v>
      </c>
      <c r="Z319" t="s">
        <v>807</v>
      </c>
      <c r="AA319">
        <v>3113624441</v>
      </c>
      <c r="AB319" t="s">
        <v>1747</v>
      </c>
      <c r="AC319">
        <v>2</v>
      </c>
    </row>
    <row r="320" spans="1:43" ht="60" hidden="1">
      <c r="B320">
        <v>10</v>
      </c>
      <c r="C320">
        <v>802011128</v>
      </c>
      <c r="D320" t="s">
        <v>1548</v>
      </c>
      <c r="E320" t="s">
        <v>1548</v>
      </c>
      <c r="F320">
        <v>802011128</v>
      </c>
      <c r="G320" t="s">
        <v>1548</v>
      </c>
      <c r="H320" t="s">
        <v>1549</v>
      </c>
      <c r="I320" t="s">
        <v>46</v>
      </c>
      <c r="J320" t="s">
        <v>114</v>
      </c>
      <c r="K320" t="s">
        <v>48</v>
      </c>
      <c r="L320">
        <v>9</v>
      </c>
      <c r="M320">
        <v>5</v>
      </c>
      <c r="N320">
        <v>7</v>
      </c>
      <c r="O320" t="s">
        <v>49</v>
      </c>
      <c r="P320" t="s">
        <v>50</v>
      </c>
      <c r="Q320" t="s">
        <v>1748</v>
      </c>
      <c r="R320">
        <v>2024</v>
      </c>
      <c r="S320" t="s">
        <v>190</v>
      </c>
      <c r="T320" t="s">
        <v>1366</v>
      </c>
      <c r="U320" s="8">
        <v>45568.713414351849</v>
      </c>
      <c r="V320" s="2" t="s">
        <v>1749</v>
      </c>
      <c r="X320" t="s">
        <v>55</v>
      </c>
      <c r="Y320" t="s">
        <v>56</v>
      </c>
      <c r="Z320" t="s">
        <v>807</v>
      </c>
      <c r="AA320">
        <v>3532146</v>
      </c>
      <c r="AB320" t="s">
        <v>1552</v>
      </c>
      <c r="AC320">
        <v>3</v>
      </c>
    </row>
    <row r="321" spans="2:43" ht="45" hidden="1">
      <c r="B321">
        <v>10</v>
      </c>
      <c r="C321">
        <v>802011276</v>
      </c>
      <c r="D321" t="s">
        <v>1750</v>
      </c>
      <c r="E321" t="s">
        <v>1750</v>
      </c>
      <c r="F321">
        <v>802011276</v>
      </c>
      <c r="G321" t="s">
        <v>1750</v>
      </c>
      <c r="H321" t="s">
        <v>1751</v>
      </c>
      <c r="I321" t="s">
        <v>46</v>
      </c>
      <c r="J321" t="s">
        <v>114</v>
      </c>
      <c r="K321" t="s">
        <v>48</v>
      </c>
      <c r="L321">
        <v>5</v>
      </c>
      <c r="M321">
        <v>2</v>
      </c>
      <c r="N321">
        <v>3</v>
      </c>
      <c r="O321" t="s">
        <v>49</v>
      </c>
      <c r="P321" t="s">
        <v>50</v>
      </c>
      <c r="Q321" t="s">
        <v>1752</v>
      </c>
      <c r="R321">
        <v>2024</v>
      </c>
      <c r="S321" t="s">
        <v>190</v>
      </c>
      <c r="T321" t="s">
        <v>1366</v>
      </c>
      <c r="U321" s="8">
        <v>45572.632094907407</v>
      </c>
      <c r="V321" s="2" t="s">
        <v>1753</v>
      </c>
      <c r="X321" t="s">
        <v>1252</v>
      </c>
      <c r="Z321" t="s">
        <v>807</v>
      </c>
      <c r="AA321">
        <v>3703222</v>
      </c>
      <c r="AB321" t="s">
        <v>1754</v>
      </c>
      <c r="AC321">
        <v>3</v>
      </c>
    </row>
    <row r="322" spans="2:43" ht="60" hidden="1">
      <c r="B322">
        <v>10</v>
      </c>
      <c r="C322">
        <v>900596138</v>
      </c>
      <c r="D322" t="s">
        <v>1755</v>
      </c>
      <c r="E322" t="s">
        <v>1756</v>
      </c>
      <c r="F322">
        <v>900596138</v>
      </c>
      <c r="G322" t="s">
        <v>1756</v>
      </c>
      <c r="H322" t="s">
        <v>1757</v>
      </c>
      <c r="I322" t="s">
        <v>1758</v>
      </c>
      <c r="J322" t="s">
        <v>47</v>
      </c>
      <c r="K322" t="s">
        <v>48</v>
      </c>
      <c r="L322">
        <v>5</v>
      </c>
      <c r="M322">
        <v>5</v>
      </c>
      <c r="N322">
        <v>3</v>
      </c>
      <c r="O322" t="s">
        <v>48</v>
      </c>
      <c r="P322" t="s">
        <v>97</v>
      </c>
      <c r="Q322" t="s">
        <v>1759</v>
      </c>
      <c r="R322">
        <v>2024</v>
      </c>
      <c r="S322" t="s">
        <v>65</v>
      </c>
      <c r="T322" t="s">
        <v>334</v>
      </c>
      <c r="U322" s="8">
        <v>45572.637824074074</v>
      </c>
      <c r="V322" s="2" t="s">
        <v>1760</v>
      </c>
      <c r="X322" t="s">
        <v>55</v>
      </c>
      <c r="Y322" t="s">
        <v>368</v>
      </c>
      <c r="Z322" t="s">
        <v>807</v>
      </c>
      <c r="AA322">
        <v>2136775</v>
      </c>
      <c r="AB322" t="s">
        <v>1761</v>
      </c>
      <c r="AC322">
        <v>2</v>
      </c>
    </row>
    <row r="323" spans="2:43" ht="60" hidden="1">
      <c r="B323">
        <v>10</v>
      </c>
      <c r="C323">
        <v>811044279</v>
      </c>
      <c r="D323" t="s">
        <v>1762</v>
      </c>
      <c r="E323" t="s">
        <v>1762</v>
      </c>
      <c r="F323">
        <v>811044279</v>
      </c>
      <c r="G323" t="s">
        <v>1762</v>
      </c>
      <c r="H323" t="s">
        <v>1763</v>
      </c>
      <c r="I323" t="s">
        <v>211</v>
      </c>
      <c r="J323" t="s">
        <v>47</v>
      </c>
      <c r="K323" t="s">
        <v>48</v>
      </c>
      <c r="L323">
        <v>5</v>
      </c>
      <c r="M323">
        <v>2</v>
      </c>
      <c r="N323">
        <v>3</v>
      </c>
      <c r="O323" t="s">
        <v>48</v>
      </c>
      <c r="P323" t="s">
        <v>63</v>
      </c>
      <c r="Q323" t="s">
        <v>1764</v>
      </c>
      <c r="R323">
        <v>2024</v>
      </c>
      <c r="S323" t="s">
        <v>65</v>
      </c>
      <c r="T323" t="s">
        <v>334</v>
      </c>
      <c r="U323" s="8">
        <v>45572.64402777778</v>
      </c>
      <c r="V323" s="2" t="s">
        <v>1765</v>
      </c>
      <c r="X323" t="s">
        <v>1252</v>
      </c>
      <c r="Z323" t="s">
        <v>807</v>
      </c>
      <c r="AA323">
        <v>4489399</v>
      </c>
      <c r="AB323" t="s">
        <v>1766</v>
      </c>
      <c r="AC323">
        <v>2</v>
      </c>
    </row>
    <row r="324" spans="2:43" ht="60" hidden="1">
      <c r="B324">
        <v>10</v>
      </c>
      <c r="C324">
        <v>901577413</v>
      </c>
      <c r="D324" t="s">
        <v>532</v>
      </c>
      <c r="E324" t="s">
        <v>532</v>
      </c>
      <c r="F324">
        <v>901577413</v>
      </c>
      <c r="G324" t="s">
        <v>532</v>
      </c>
      <c r="H324" t="s">
        <v>533</v>
      </c>
      <c r="I324" t="s">
        <v>534</v>
      </c>
      <c r="J324" t="s">
        <v>114</v>
      </c>
      <c r="K324" t="s">
        <v>48</v>
      </c>
      <c r="L324">
        <v>5</v>
      </c>
      <c r="M324">
        <v>4</v>
      </c>
      <c r="N324">
        <v>3</v>
      </c>
      <c r="O324" t="s">
        <v>48</v>
      </c>
      <c r="P324" t="s">
        <v>535</v>
      </c>
      <c r="Q324" t="s">
        <v>1767</v>
      </c>
      <c r="R324">
        <v>2024</v>
      </c>
      <c r="S324" t="s">
        <v>52</v>
      </c>
      <c r="T324" t="s">
        <v>661</v>
      </c>
      <c r="U324" s="8">
        <v>45572.666851851849</v>
      </c>
      <c r="V324" s="2" t="s">
        <v>1768</v>
      </c>
      <c r="X324" t="s">
        <v>55</v>
      </c>
      <c r="Y324" t="s">
        <v>56</v>
      </c>
      <c r="Z324" t="s">
        <v>807</v>
      </c>
      <c r="AA324">
        <v>3105900475</v>
      </c>
      <c r="AB324" t="s">
        <v>539</v>
      </c>
      <c r="AC324">
        <v>2</v>
      </c>
    </row>
    <row r="325" spans="2:43" hidden="1">
      <c r="B325">
        <v>10</v>
      </c>
      <c r="C325">
        <v>901353525</v>
      </c>
      <c r="D325" t="s">
        <v>1769</v>
      </c>
      <c r="E325" t="s">
        <v>1770</v>
      </c>
      <c r="F325">
        <v>901353525</v>
      </c>
      <c r="G325" t="s">
        <v>1770</v>
      </c>
      <c r="H325" t="s">
        <v>1771</v>
      </c>
      <c r="I325" t="s">
        <v>1772</v>
      </c>
      <c r="J325" t="s">
        <v>47</v>
      </c>
      <c r="K325" t="s">
        <v>49</v>
      </c>
      <c r="L325">
        <v>3</v>
      </c>
      <c r="M325">
        <v>3</v>
      </c>
      <c r="N325">
        <v>1</v>
      </c>
      <c r="O325" t="s">
        <v>49</v>
      </c>
      <c r="P325" t="s">
        <v>63</v>
      </c>
      <c r="Q325" t="s">
        <v>1773</v>
      </c>
      <c r="R325">
        <v>2024</v>
      </c>
      <c r="S325" t="s">
        <v>52</v>
      </c>
      <c r="T325" t="s">
        <v>53</v>
      </c>
      <c r="U325" s="8">
        <v>45574.434444444443</v>
      </c>
      <c r="V325" s="2" t="s">
        <v>1774</v>
      </c>
      <c r="W325" t="s">
        <v>1775</v>
      </c>
      <c r="X325" t="s">
        <v>1776</v>
      </c>
      <c r="Y325" t="s">
        <v>1777</v>
      </c>
      <c r="Z325" t="s">
        <v>1778</v>
      </c>
      <c r="AB325" t="s">
        <v>1252</v>
      </c>
    </row>
    <row r="326" spans="2:43" ht="45" hidden="1">
      <c r="B326">
        <v>10</v>
      </c>
      <c r="C326">
        <v>900013340</v>
      </c>
      <c r="D326" t="s">
        <v>1779</v>
      </c>
      <c r="E326" t="s">
        <v>1779</v>
      </c>
      <c r="F326">
        <v>900013340</v>
      </c>
      <c r="G326" t="s">
        <v>1779</v>
      </c>
      <c r="H326" t="s">
        <v>1780</v>
      </c>
      <c r="I326" t="s">
        <v>61</v>
      </c>
      <c r="J326" t="s">
        <v>114</v>
      </c>
      <c r="K326" t="s">
        <v>48</v>
      </c>
      <c r="L326">
        <v>3</v>
      </c>
      <c r="M326">
        <v>1</v>
      </c>
      <c r="N326">
        <v>1</v>
      </c>
      <c r="O326" t="s">
        <v>49</v>
      </c>
      <c r="P326" t="s">
        <v>63</v>
      </c>
      <c r="Q326" t="s">
        <v>1781</v>
      </c>
      <c r="R326">
        <v>2024</v>
      </c>
      <c r="S326" t="s">
        <v>52</v>
      </c>
      <c r="T326" t="s">
        <v>116</v>
      </c>
      <c r="U326" s="8">
        <v>45574.452777777777</v>
      </c>
      <c r="V326" s="2" t="s">
        <v>1782</v>
      </c>
      <c r="X326" t="s">
        <v>1252</v>
      </c>
      <c r="Z326" t="s">
        <v>807</v>
      </c>
      <c r="AA326">
        <v>8393595</v>
      </c>
      <c r="AB326" t="s">
        <v>1783</v>
      </c>
      <c r="AC326">
        <v>3</v>
      </c>
    </row>
    <row r="327" spans="2:43" s="15" customFormat="1" ht="78" customHeight="1">
      <c r="B327" s="15">
        <v>10</v>
      </c>
      <c r="C327" s="15">
        <v>901482950</v>
      </c>
      <c r="D327" s="29" t="s">
        <v>361</v>
      </c>
      <c r="E327" s="15" t="s">
        <v>362</v>
      </c>
      <c r="F327">
        <v>901482950</v>
      </c>
      <c r="G327" t="s">
        <v>362</v>
      </c>
      <c r="H327" t="s">
        <v>364</v>
      </c>
      <c r="I327" t="s">
        <v>365</v>
      </c>
      <c r="J327" t="s">
        <v>47</v>
      </c>
      <c r="K327" t="s">
        <v>49</v>
      </c>
      <c r="L327">
        <v>3</v>
      </c>
      <c r="M327">
        <v>0</v>
      </c>
      <c r="N327">
        <v>1</v>
      </c>
      <c r="O327" s="15" t="s">
        <v>62</v>
      </c>
      <c r="P327" t="s">
        <v>63</v>
      </c>
      <c r="Q327" s="15" t="s">
        <v>1784</v>
      </c>
      <c r="R327">
        <v>2024</v>
      </c>
      <c r="S327" t="s">
        <v>65</v>
      </c>
      <c r="T327" t="s">
        <v>66</v>
      </c>
      <c r="U327" s="25">
        <v>45574.591481481482</v>
      </c>
      <c r="V327" s="14" t="s">
        <v>1785</v>
      </c>
      <c r="W327"/>
      <c r="X327" t="s">
        <v>1354</v>
      </c>
      <c r="Y327"/>
      <c r="Z327" t="s">
        <v>807</v>
      </c>
      <c r="AA327">
        <v>3506921483</v>
      </c>
      <c r="AB327" t="s">
        <v>369</v>
      </c>
      <c r="AC327">
        <v>6</v>
      </c>
      <c r="AD327" s="13" t="s">
        <v>70</v>
      </c>
      <c r="AE327" s="15" t="s">
        <v>1786</v>
      </c>
      <c r="AF327" s="15" t="s">
        <v>327</v>
      </c>
      <c r="AG327" s="15" t="s">
        <v>592</v>
      </c>
      <c r="AH327" s="15" t="s">
        <v>1787</v>
      </c>
      <c r="AI327" s="25">
        <v>45622</v>
      </c>
      <c r="AJ327" s="33"/>
      <c r="AK327" s="33"/>
      <c r="AL327" s="15" t="s">
        <v>594</v>
      </c>
      <c r="AM327" s="14" t="s">
        <v>607</v>
      </c>
      <c r="AN327" s="15" t="s">
        <v>328</v>
      </c>
      <c r="AO327" s="14" t="s">
        <v>1788</v>
      </c>
      <c r="AP327" s="28">
        <v>287500</v>
      </c>
      <c r="AQ327" s="15" t="s">
        <v>598</v>
      </c>
    </row>
    <row r="328" spans="2:43" ht="45" hidden="1">
      <c r="B328">
        <v>10</v>
      </c>
      <c r="C328">
        <v>11312306</v>
      </c>
      <c r="D328" t="s">
        <v>1789</v>
      </c>
      <c r="E328" t="s">
        <v>1790</v>
      </c>
      <c r="F328">
        <v>11312306</v>
      </c>
      <c r="G328" t="s">
        <v>1790</v>
      </c>
      <c r="H328" t="s">
        <v>1791</v>
      </c>
      <c r="I328" t="s">
        <v>104</v>
      </c>
      <c r="J328" t="s">
        <v>47</v>
      </c>
      <c r="K328" t="s">
        <v>49</v>
      </c>
      <c r="L328">
        <v>3</v>
      </c>
      <c r="M328">
        <v>3</v>
      </c>
      <c r="N328">
        <v>1</v>
      </c>
      <c r="O328" t="s">
        <v>49</v>
      </c>
      <c r="P328" t="s">
        <v>106</v>
      </c>
      <c r="Q328" t="s">
        <v>1792</v>
      </c>
      <c r="R328">
        <v>2024</v>
      </c>
      <c r="S328" t="s">
        <v>124</v>
      </c>
      <c r="T328" t="s">
        <v>125</v>
      </c>
      <c r="U328" s="8">
        <v>45574.628877314812</v>
      </c>
      <c r="V328" s="2" t="s">
        <v>1793</v>
      </c>
      <c r="X328" t="s">
        <v>1252</v>
      </c>
      <c r="Z328" t="s">
        <v>807</v>
      </c>
      <c r="AA328" t="s">
        <v>1794</v>
      </c>
      <c r="AB328" t="s">
        <v>1795</v>
      </c>
      <c r="AC328">
        <v>3</v>
      </c>
    </row>
    <row r="329" spans="2:43" ht="45" hidden="1">
      <c r="B329">
        <v>10</v>
      </c>
      <c r="C329">
        <v>890931247</v>
      </c>
      <c r="D329" t="s">
        <v>624</v>
      </c>
      <c r="E329" t="s">
        <v>625</v>
      </c>
      <c r="F329">
        <v>890931247</v>
      </c>
      <c r="G329" t="s">
        <v>625</v>
      </c>
      <c r="H329" t="s">
        <v>626</v>
      </c>
      <c r="I329" t="s">
        <v>160</v>
      </c>
      <c r="J329" t="s">
        <v>114</v>
      </c>
      <c r="K329" t="s">
        <v>48</v>
      </c>
      <c r="L329">
        <v>3</v>
      </c>
      <c r="M329">
        <v>2</v>
      </c>
      <c r="N329">
        <v>1</v>
      </c>
      <c r="O329" t="s">
        <v>48</v>
      </c>
      <c r="P329" t="s">
        <v>63</v>
      </c>
      <c r="Q329" t="s">
        <v>1796</v>
      </c>
      <c r="R329">
        <v>2024</v>
      </c>
      <c r="S329" t="s">
        <v>124</v>
      </c>
      <c r="T329" t="s">
        <v>1797</v>
      </c>
      <c r="U329" s="8">
        <v>45574.701990740738</v>
      </c>
      <c r="V329" s="2" t="s">
        <v>1798</v>
      </c>
      <c r="X329" t="s">
        <v>1252</v>
      </c>
      <c r="Z329" t="s">
        <v>807</v>
      </c>
      <c r="AA329">
        <v>4480799</v>
      </c>
      <c r="AB329" t="s">
        <v>629</v>
      </c>
      <c r="AC329">
        <v>2</v>
      </c>
    </row>
    <row r="330" spans="2:43" ht="60" hidden="1">
      <c r="B330">
        <v>10</v>
      </c>
      <c r="C330">
        <v>814001969</v>
      </c>
      <c r="D330" t="s">
        <v>1701</v>
      </c>
      <c r="E330" t="s">
        <v>1701</v>
      </c>
      <c r="F330">
        <v>814001969</v>
      </c>
      <c r="G330" t="s">
        <v>1701</v>
      </c>
      <c r="H330" t="s">
        <v>1702</v>
      </c>
      <c r="I330" t="s">
        <v>84</v>
      </c>
      <c r="J330" t="s">
        <v>47</v>
      </c>
      <c r="K330" t="s">
        <v>49</v>
      </c>
      <c r="L330">
        <v>2</v>
      </c>
      <c r="M330">
        <v>2</v>
      </c>
      <c r="N330">
        <v>0</v>
      </c>
      <c r="O330" t="s">
        <v>49</v>
      </c>
      <c r="P330" t="s">
        <v>85</v>
      </c>
      <c r="Q330" t="s">
        <v>1799</v>
      </c>
      <c r="R330">
        <v>2024</v>
      </c>
      <c r="S330" t="s">
        <v>65</v>
      </c>
      <c r="T330" t="s">
        <v>125</v>
      </c>
      <c r="U330" s="8">
        <v>45575.608287037037</v>
      </c>
      <c r="V330" s="2" t="s">
        <v>1800</v>
      </c>
      <c r="X330" t="s">
        <v>1252</v>
      </c>
      <c r="Z330" t="s">
        <v>807</v>
      </c>
      <c r="AA330">
        <v>7216668</v>
      </c>
      <c r="AB330" t="s">
        <v>1705</v>
      </c>
      <c r="AC330">
        <v>3</v>
      </c>
    </row>
    <row r="331" spans="2:43" ht="60" hidden="1">
      <c r="B331">
        <v>10</v>
      </c>
      <c r="C331">
        <v>800216811</v>
      </c>
      <c r="D331" t="s">
        <v>1801</v>
      </c>
      <c r="E331" t="s">
        <v>1802</v>
      </c>
      <c r="F331">
        <v>800216811</v>
      </c>
      <c r="G331" t="s">
        <v>1802</v>
      </c>
      <c r="H331" t="s">
        <v>1803</v>
      </c>
      <c r="I331" t="s">
        <v>332</v>
      </c>
      <c r="J331" t="s">
        <v>47</v>
      </c>
      <c r="K331" t="s">
        <v>48</v>
      </c>
      <c r="L331">
        <v>1</v>
      </c>
      <c r="M331">
        <v>1</v>
      </c>
      <c r="N331">
        <v>-1</v>
      </c>
      <c r="O331" t="s">
        <v>49</v>
      </c>
      <c r="P331" t="s">
        <v>85</v>
      </c>
      <c r="Q331" t="s">
        <v>1804</v>
      </c>
      <c r="R331">
        <v>2024</v>
      </c>
      <c r="S331" t="s">
        <v>65</v>
      </c>
      <c r="T331" t="s">
        <v>125</v>
      </c>
      <c r="U331" s="8">
        <v>45576.368379629632</v>
      </c>
      <c r="V331" s="2" t="s">
        <v>1805</v>
      </c>
      <c r="X331" t="s">
        <v>1252</v>
      </c>
      <c r="Z331" t="s">
        <v>807</v>
      </c>
      <c r="AA331">
        <v>7270929</v>
      </c>
      <c r="AB331" t="s">
        <v>1806</v>
      </c>
      <c r="AC331">
        <v>3</v>
      </c>
    </row>
    <row r="332" spans="2:43" ht="45" hidden="1">
      <c r="B332">
        <v>10</v>
      </c>
      <c r="C332">
        <v>802000979</v>
      </c>
      <c r="D332" t="s">
        <v>1807</v>
      </c>
      <c r="E332" t="s">
        <v>1807</v>
      </c>
      <c r="F332">
        <v>802000979</v>
      </c>
      <c r="G332">
        <v>802000979</v>
      </c>
      <c r="H332" t="s">
        <v>1808</v>
      </c>
      <c r="I332" t="s">
        <v>1809</v>
      </c>
      <c r="J332" t="s">
        <v>114</v>
      </c>
      <c r="K332" t="s">
        <v>48</v>
      </c>
      <c r="L332">
        <v>1</v>
      </c>
      <c r="M332">
        <v>1</v>
      </c>
      <c r="N332">
        <v>-1</v>
      </c>
      <c r="O332" t="s">
        <v>49</v>
      </c>
      <c r="P332" t="s">
        <v>50</v>
      </c>
      <c r="Q332" t="s">
        <v>1810</v>
      </c>
      <c r="R332">
        <v>2024</v>
      </c>
      <c r="S332" t="s">
        <v>52</v>
      </c>
      <c r="T332" t="s">
        <v>116</v>
      </c>
      <c r="U332" s="8">
        <v>45576.390462962961</v>
      </c>
      <c r="V332" s="2" t="s">
        <v>1811</v>
      </c>
      <c r="X332" t="s">
        <v>1252</v>
      </c>
      <c r="Z332" t="s">
        <v>807</v>
      </c>
      <c r="AA332">
        <v>3819400</v>
      </c>
      <c r="AB332" t="s">
        <v>1812</v>
      </c>
      <c r="AC332">
        <v>3</v>
      </c>
    </row>
    <row r="333" spans="2:43" ht="60" hidden="1">
      <c r="B333">
        <v>10</v>
      </c>
      <c r="C333">
        <v>901363883</v>
      </c>
      <c r="D333" t="s">
        <v>1813</v>
      </c>
      <c r="E333" t="s">
        <v>1813</v>
      </c>
      <c r="F333">
        <v>901363883</v>
      </c>
      <c r="G333" t="s">
        <v>1813</v>
      </c>
      <c r="H333" t="s">
        <v>1814</v>
      </c>
      <c r="I333" t="s">
        <v>791</v>
      </c>
      <c r="J333" t="s">
        <v>47</v>
      </c>
      <c r="K333" t="s">
        <v>48</v>
      </c>
      <c r="L333">
        <v>1</v>
      </c>
      <c r="M333">
        <v>1</v>
      </c>
      <c r="N333">
        <v>-1</v>
      </c>
      <c r="O333" t="s">
        <v>48</v>
      </c>
      <c r="P333" t="s">
        <v>63</v>
      </c>
      <c r="Q333" t="s">
        <v>1815</v>
      </c>
      <c r="R333">
        <v>2024</v>
      </c>
      <c r="S333" t="s">
        <v>65</v>
      </c>
      <c r="T333" t="s">
        <v>293</v>
      </c>
      <c r="U333" s="8">
        <v>45576.411145833335</v>
      </c>
      <c r="V333" s="2" t="s">
        <v>1816</v>
      </c>
      <c r="X333" t="s">
        <v>1252</v>
      </c>
      <c r="Z333" t="s">
        <v>807</v>
      </c>
      <c r="AA333">
        <v>8253408</v>
      </c>
      <c r="AB333" t="s">
        <v>1817</v>
      </c>
      <c r="AC333">
        <v>2</v>
      </c>
    </row>
    <row r="334" spans="2:43" s="15" customFormat="1" ht="60">
      <c r="B334" s="15">
        <v>10</v>
      </c>
      <c r="C334" s="15">
        <v>901236453</v>
      </c>
      <c r="D334" s="29" t="s">
        <v>128</v>
      </c>
      <c r="E334" s="15" t="s">
        <v>128</v>
      </c>
      <c r="F334" s="15">
        <v>901236453</v>
      </c>
      <c r="G334" s="15" t="s">
        <v>128</v>
      </c>
      <c r="H334" s="15" t="s">
        <v>129</v>
      </c>
      <c r="I334" s="15" t="s">
        <v>130</v>
      </c>
      <c r="J334" s="15" t="s">
        <v>114</v>
      </c>
      <c r="K334" s="15" t="s">
        <v>436</v>
      </c>
      <c r="L334" s="15">
        <v>1</v>
      </c>
      <c r="M334" s="15">
        <v>1</v>
      </c>
      <c r="N334" s="15">
        <v>-1</v>
      </c>
      <c r="O334" s="15" t="s">
        <v>436</v>
      </c>
      <c r="P334" s="15" t="s">
        <v>131</v>
      </c>
      <c r="Q334" s="15" t="s">
        <v>1818</v>
      </c>
      <c r="R334" s="15">
        <v>2024</v>
      </c>
      <c r="S334" s="15" t="s">
        <v>124</v>
      </c>
      <c r="T334" s="15" t="s">
        <v>313</v>
      </c>
      <c r="U334" s="25">
        <v>45576.518888888888</v>
      </c>
      <c r="V334" s="14" t="s">
        <v>1819</v>
      </c>
      <c r="X334" s="15" t="s">
        <v>1252</v>
      </c>
      <c r="Z334" s="15" t="s">
        <v>807</v>
      </c>
      <c r="AA334" s="15">
        <v>8262051</v>
      </c>
      <c r="AB334" s="15" t="s">
        <v>134</v>
      </c>
      <c r="AC334" s="15">
        <v>7</v>
      </c>
      <c r="AD334" s="38" t="s">
        <v>439</v>
      </c>
      <c r="AE334" s="15" t="s">
        <v>1820</v>
      </c>
      <c r="AF334" s="39" t="s">
        <v>1687</v>
      </c>
      <c r="AG334" s="15" t="s">
        <v>592</v>
      </c>
      <c r="AH334" s="15" t="s">
        <v>55</v>
      </c>
      <c r="AI334" s="25">
        <v>45580</v>
      </c>
      <c r="AJ334" s="33"/>
      <c r="AK334" s="33"/>
      <c r="AL334" s="14" t="s">
        <v>594</v>
      </c>
      <c r="AM334" s="40" t="s">
        <v>595</v>
      </c>
      <c r="AN334" s="15" t="s">
        <v>656</v>
      </c>
      <c r="AO334" s="14" t="s">
        <v>1821</v>
      </c>
      <c r="AP334" s="37">
        <v>3269480</v>
      </c>
      <c r="AQ334" s="14" t="s">
        <v>973</v>
      </c>
    </row>
    <row r="335" spans="2:43" s="15" customFormat="1" ht="90">
      <c r="B335" s="15">
        <v>10</v>
      </c>
      <c r="C335" s="15">
        <v>19355560</v>
      </c>
      <c r="D335" s="29" t="s">
        <v>1822</v>
      </c>
      <c r="E335" s="15" t="s">
        <v>1823</v>
      </c>
      <c r="F335">
        <v>19355560</v>
      </c>
      <c r="G335" t="s">
        <v>1823</v>
      </c>
      <c r="H335" t="s">
        <v>1824</v>
      </c>
      <c r="I335" t="s">
        <v>104</v>
      </c>
      <c r="J335" t="s">
        <v>114</v>
      </c>
      <c r="K335" t="s">
        <v>436</v>
      </c>
      <c r="L335">
        <v>7</v>
      </c>
      <c r="M335">
        <v>7</v>
      </c>
      <c r="N335">
        <v>5</v>
      </c>
      <c r="O335" s="15" t="s">
        <v>436</v>
      </c>
      <c r="P335" t="s">
        <v>106</v>
      </c>
      <c r="Q335" s="15" t="s">
        <v>1825</v>
      </c>
      <c r="R335">
        <v>2024</v>
      </c>
      <c r="S335" t="s">
        <v>124</v>
      </c>
      <c r="T335" t="s">
        <v>284</v>
      </c>
      <c r="U335" s="25">
        <v>45581.504988425928</v>
      </c>
      <c r="V335" s="14" t="s">
        <v>1826</v>
      </c>
      <c r="W335"/>
      <c r="X335" t="s">
        <v>1252</v>
      </c>
      <c r="Y335"/>
      <c r="Z335" t="s">
        <v>807</v>
      </c>
      <c r="AA335">
        <v>4929921</v>
      </c>
      <c r="AB335" t="s">
        <v>1827</v>
      </c>
      <c r="AC335">
        <v>7</v>
      </c>
      <c r="AD335" s="14" t="s">
        <v>589</v>
      </c>
      <c r="AE335" s="14" t="s">
        <v>1828</v>
      </c>
      <c r="AF335" s="14" t="s">
        <v>1829</v>
      </c>
      <c r="AG335" s="15" t="s">
        <v>592</v>
      </c>
      <c r="AH335" s="15" t="s">
        <v>1787</v>
      </c>
      <c r="AI335" s="25">
        <v>45623</v>
      </c>
      <c r="AJ335" s="33"/>
      <c r="AK335" s="33"/>
      <c r="AL335" s="14" t="s">
        <v>594</v>
      </c>
      <c r="AM335" s="30" t="s">
        <v>595</v>
      </c>
      <c r="AN335" s="15" t="s">
        <v>758</v>
      </c>
      <c r="AO335" s="14" t="s">
        <v>1830</v>
      </c>
      <c r="AP335" s="28">
        <f>207621+180930+561162</f>
        <v>949713</v>
      </c>
      <c r="AQ335" s="14" t="s">
        <v>973</v>
      </c>
    </row>
    <row r="336" spans="2:43" s="15" customFormat="1" ht="75">
      <c r="B336" s="15">
        <v>10</v>
      </c>
      <c r="C336" s="15">
        <v>900210866</v>
      </c>
      <c r="D336" s="29" t="s">
        <v>583</v>
      </c>
      <c r="E336" s="15" t="s">
        <v>583</v>
      </c>
      <c r="F336">
        <v>900210866</v>
      </c>
      <c r="G336" t="s">
        <v>583</v>
      </c>
      <c r="H336" t="s">
        <v>585</v>
      </c>
      <c r="I336" t="s">
        <v>104</v>
      </c>
      <c r="J336" t="s">
        <v>47</v>
      </c>
      <c r="K336" t="s">
        <v>436</v>
      </c>
      <c r="L336">
        <v>7</v>
      </c>
      <c r="M336">
        <v>7</v>
      </c>
      <c r="N336">
        <v>5</v>
      </c>
      <c r="O336" s="15" t="s">
        <v>436</v>
      </c>
      <c r="P336" t="s">
        <v>106</v>
      </c>
      <c r="Q336" s="15" t="s">
        <v>1831</v>
      </c>
      <c r="R336">
        <v>2024</v>
      </c>
      <c r="S336" t="s">
        <v>65</v>
      </c>
      <c r="T336" t="s">
        <v>66</v>
      </c>
      <c r="U336" s="25">
        <v>45581.615474537037</v>
      </c>
      <c r="V336" s="14" t="s">
        <v>1832</v>
      </c>
      <c r="W336"/>
      <c r="X336" t="s">
        <v>1252</v>
      </c>
      <c r="Y336"/>
      <c r="Z336" t="s">
        <v>807</v>
      </c>
      <c r="AA336">
        <v>7425408</v>
      </c>
      <c r="AB336" t="s">
        <v>588</v>
      </c>
      <c r="AC336">
        <v>7</v>
      </c>
      <c r="AD336" s="14" t="s">
        <v>589</v>
      </c>
      <c r="AE336" s="15" t="s">
        <v>1546</v>
      </c>
      <c r="AF336" s="15" t="s">
        <v>591</v>
      </c>
      <c r="AG336" s="15" t="s">
        <v>592</v>
      </c>
      <c r="AH336" s="15" t="s">
        <v>1787</v>
      </c>
      <c r="AI336" s="25">
        <v>45622</v>
      </c>
      <c r="AJ336" s="33"/>
      <c r="AK336" s="33"/>
      <c r="AL336" s="15" t="s">
        <v>594</v>
      </c>
      <c r="AM336" s="15" t="s">
        <v>607</v>
      </c>
      <c r="AN336" s="15" t="s">
        <v>758</v>
      </c>
      <c r="AO336" s="14" t="s">
        <v>1833</v>
      </c>
      <c r="AP336" s="41">
        <v>1185030</v>
      </c>
      <c r="AQ336" s="15" t="s">
        <v>598</v>
      </c>
    </row>
    <row r="337" spans="2:43" ht="60" hidden="1">
      <c r="B337">
        <v>10</v>
      </c>
      <c r="C337">
        <v>901345290</v>
      </c>
      <c r="D337" t="s">
        <v>1834</v>
      </c>
      <c r="E337" t="s">
        <v>1834</v>
      </c>
      <c r="F337">
        <v>901345290</v>
      </c>
      <c r="G337" t="s">
        <v>1834</v>
      </c>
      <c r="H337" t="s">
        <v>1835</v>
      </c>
      <c r="I337" t="s">
        <v>138</v>
      </c>
      <c r="J337" t="s">
        <v>47</v>
      </c>
      <c r="K337" t="s">
        <v>49</v>
      </c>
      <c r="L337">
        <v>5</v>
      </c>
      <c r="M337">
        <v>5</v>
      </c>
      <c r="N337">
        <v>3</v>
      </c>
      <c r="O337" t="s">
        <v>48</v>
      </c>
      <c r="P337" t="s">
        <v>63</v>
      </c>
      <c r="Q337" t="s">
        <v>1836</v>
      </c>
      <c r="R337">
        <v>2024</v>
      </c>
      <c r="S337" t="s">
        <v>65</v>
      </c>
      <c r="T337" t="s">
        <v>293</v>
      </c>
      <c r="U337" s="8">
        <v>45583.445902777778</v>
      </c>
      <c r="V337" s="2" t="s">
        <v>1837</v>
      </c>
      <c r="X337" t="s">
        <v>1252</v>
      </c>
      <c r="Z337" t="s">
        <v>807</v>
      </c>
      <c r="AA337">
        <v>3104073825</v>
      </c>
      <c r="AB337" t="s">
        <v>1838</v>
      </c>
      <c r="AC337">
        <v>2</v>
      </c>
    </row>
    <row r="338" spans="2:43" ht="75" hidden="1">
      <c r="B338">
        <v>10</v>
      </c>
      <c r="C338">
        <v>900730100</v>
      </c>
      <c r="D338" t="s">
        <v>1839</v>
      </c>
      <c r="E338" t="s">
        <v>1839</v>
      </c>
      <c r="F338">
        <v>900730100</v>
      </c>
      <c r="G338" t="s">
        <v>1839</v>
      </c>
      <c r="H338" t="s">
        <v>1840</v>
      </c>
      <c r="I338" t="s">
        <v>1841</v>
      </c>
      <c r="J338" t="s">
        <v>47</v>
      </c>
      <c r="K338" t="s">
        <v>48</v>
      </c>
      <c r="L338">
        <v>5</v>
      </c>
      <c r="M338">
        <v>5</v>
      </c>
      <c r="N338">
        <v>3</v>
      </c>
      <c r="O338" t="s">
        <v>49</v>
      </c>
      <c r="P338" t="s">
        <v>612</v>
      </c>
      <c r="Q338" t="s">
        <v>1842</v>
      </c>
      <c r="R338">
        <v>2024</v>
      </c>
      <c r="S338" t="s">
        <v>65</v>
      </c>
      <c r="T338" t="s">
        <v>125</v>
      </c>
      <c r="U338" s="8">
        <v>45583.453217592592</v>
      </c>
      <c r="V338" s="2" t="s">
        <v>1843</v>
      </c>
      <c r="X338" t="s">
        <v>55</v>
      </c>
      <c r="Y338" t="s">
        <v>56</v>
      </c>
      <c r="Z338" t="s">
        <v>807</v>
      </c>
      <c r="AA338">
        <v>3183877514</v>
      </c>
      <c r="AB338" t="s">
        <v>1844</v>
      </c>
      <c r="AC338">
        <v>3</v>
      </c>
    </row>
    <row r="339" spans="2:43" ht="45" hidden="1">
      <c r="B339">
        <v>10</v>
      </c>
      <c r="C339">
        <v>900252652</v>
      </c>
      <c r="D339" t="s">
        <v>215</v>
      </c>
      <c r="E339" t="s">
        <v>216</v>
      </c>
      <c r="F339">
        <v>900252652</v>
      </c>
      <c r="G339" t="s">
        <v>216</v>
      </c>
      <c r="H339" t="s">
        <v>218</v>
      </c>
      <c r="I339" t="s">
        <v>219</v>
      </c>
      <c r="J339" t="s">
        <v>114</v>
      </c>
      <c r="K339" t="s">
        <v>49</v>
      </c>
      <c r="L339">
        <v>1</v>
      </c>
      <c r="M339">
        <v>1</v>
      </c>
      <c r="N339">
        <v>-1</v>
      </c>
      <c r="O339" t="s">
        <v>49</v>
      </c>
      <c r="P339" t="s">
        <v>220</v>
      </c>
      <c r="Q339" t="s">
        <v>1845</v>
      </c>
      <c r="R339">
        <v>2024</v>
      </c>
      <c r="S339" t="s">
        <v>52</v>
      </c>
      <c r="T339" t="s">
        <v>116</v>
      </c>
      <c r="U339" s="8">
        <v>45587.413240740738</v>
      </c>
      <c r="V339" s="2" t="s">
        <v>1846</v>
      </c>
      <c r="X339" t="s">
        <v>1252</v>
      </c>
      <c r="Z339" t="s">
        <v>807</v>
      </c>
      <c r="AA339">
        <v>8667438</v>
      </c>
      <c r="AB339" t="s">
        <v>223</v>
      </c>
      <c r="AC339">
        <v>3</v>
      </c>
    </row>
    <row r="340" spans="2:43" ht="45" hidden="1">
      <c r="B340">
        <v>10</v>
      </c>
      <c r="C340">
        <v>1111333650</v>
      </c>
      <c r="D340" t="s">
        <v>1847</v>
      </c>
      <c r="E340" t="s">
        <v>1848</v>
      </c>
      <c r="F340">
        <v>1111333650</v>
      </c>
      <c r="G340" t="s">
        <v>1848</v>
      </c>
      <c r="H340" t="s">
        <v>1849</v>
      </c>
      <c r="I340" t="s">
        <v>693</v>
      </c>
      <c r="J340" t="s">
        <v>114</v>
      </c>
      <c r="K340" t="s">
        <v>49</v>
      </c>
      <c r="L340">
        <v>1</v>
      </c>
      <c r="M340">
        <v>1</v>
      </c>
      <c r="N340">
        <v>-1</v>
      </c>
      <c r="O340" t="s">
        <v>49</v>
      </c>
      <c r="P340" t="s">
        <v>236</v>
      </c>
      <c r="Q340" t="s">
        <v>1850</v>
      </c>
      <c r="R340">
        <v>2024</v>
      </c>
      <c r="S340" t="s">
        <v>52</v>
      </c>
      <c r="T340" t="s">
        <v>116</v>
      </c>
      <c r="U340" s="8">
        <v>45587.417916666665</v>
      </c>
      <c r="V340" s="2" t="s">
        <v>1851</v>
      </c>
      <c r="X340" t="s">
        <v>1252</v>
      </c>
      <c r="Z340" t="s">
        <v>807</v>
      </c>
      <c r="AA340">
        <v>3134132520</v>
      </c>
      <c r="AB340" t="s">
        <v>1852</v>
      </c>
      <c r="AC340">
        <v>3</v>
      </c>
    </row>
    <row r="341" spans="2:43" ht="45" hidden="1">
      <c r="B341">
        <v>10</v>
      </c>
      <c r="C341">
        <v>900727436</v>
      </c>
      <c r="D341" t="s">
        <v>1853</v>
      </c>
      <c r="E341" t="s">
        <v>1853</v>
      </c>
      <c r="F341">
        <v>900727436</v>
      </c>
      <c r="G341" t="s">
        <v>1853</v>
      </c>
      <c r="H341" t="s">
        <v>1683</v>
      </c>
      <c r="I341" t="s">
        <v>1537</v>
      </c>
      <c r="J341" t="s">
        <v>47</v>
      </c>
      <c r="K341" t="s">
        <v>49</v>
      </c>
      <c r="L341">
        <v>1</v>
      </c>
      <c r="M341">
        <v>1</v>
      </c>
      <c r="N341">
        <v>-1</v>
      </c>
      <c r="O341" t="s">
        <v>49</v>
      </c>
      <c r="P341" t="s">
        <v>63</v>
      </c>
      <c r="Q341" t="s">
        <v>1854</v>
      </c>
      <c r="R341">
        <v>2024</v>
      </c>
      <c r="S341" t="s">
        <v>124</v>
      </c>
      <c r="T341" t="s">
        <v>125</v>
      </c>
      <c r="U341" s="8">
        <v>45587.666979166665</v>
      </c>
      <c r="V341" s="2" t="s">
        <v>1855</v>
      </c>
      <c r="X341" t="s">
        <v>1252</v>
      </c>
      <c r="Z341" t="s">
        <v>807</v>
      </c>
      <c r="AA341">
        <v>8536522</v>
      </c>
      <c r="AB341" t="s">
        <v>1686</v>
      </c>
      <c r="AC341">
        <v>3</v>
      </c>
    </row>
    <row r="342" spans="2:43" s="30" customFormat="1" ht="45">
      <c r="B342" s="30">
        <v>10</v>
      </c>
      <c r="C342" s="30">
        <v>900727436</v>
      </c>
      <c r="D342" s="29" t="s">
        <v>1853</v>
      </c>
      <c r="E342" s="30" t="s">
        <v>1853</v>
      </c>
      <c r="F342">
        <v>900727436</v>
      </c>
      <c r="G342">
        <v>900727436</v>
      </c>
      <c r="H342" t="s">
        <v>1683</v>
      </c>
      <c r="I342" t="s">
        <v>1537</v>
      </c>
      <c r="J342" t="s">
        <v>114</v>
      </c>
      <c r="K342" t="s">
        <v>436</v>
      </c>
      <c r="L342">
        <v>1</v>
      </c>
      <c r="M342">
        <v>1</v>
      </c>
      <c r="N342">
        <v>-1</v>
      </c>
      <c r="O342" s="30" t="s">
        <v>436</v>
      </c>
      <c r="P342" t="s">
        <v>63</v>
      </c>
      <c r="Q342" s="30" t="s">
        <v>1856</v>
      </c>
      <c r="R342">
        <v>2024</v>
      </c>
      <c r="S342" t="s">
        <v>124</v>
      </c>
      <c r="T342" t="s">
        <v>313</v>
      </c>
      <c r="U342" s="23">
        <v>45587.69190972222</v>
      </c>
      <c r="V342" s="38" t="s">
        <v>1857</v>
      </c>
      <c r="W342"/>
      <c r="X342" t="s">
        <v>1252</v>
      </c>
      <c r="Y342"/>
      <c r="Z342" t="s">
        <v>807</v>
      </c>
      <c r="AA342">
        <v>8536522</v>
      </c>
      <c r="AB342" t="s">
        <v>1686</v>
      </c>
      <c r="AC342">
        <v>7</v>
      </c>
      <c r="AD342" s="38" t="s">
        <v>439</v>
      </c>
      <c r="AE342" s="30" t="s">
        <v>1858</v>
      </c>
      <c r="AF342" s="30" t="s">
        <v>1859</v>
      </c>
      <c r="AG342" s="30" t="s">
        <v>592</v>
      </c>
      <c r="AH342" s="30" t="s">
        <v>55</v>
      </c>
      <c r="AI342" s="23">
        <v>45593</v>
      </c>
      <c r="AJ342" s="11"/>
      <c r="AK342" s="11"/>
      <c r="AL342" s="40" t="s">
        <v>594</v>
      </c>
      <c r="AM342" s="40" t="s">
        <v>595</v>
      </c>
      <c r="AN342" s="30" t="s">
        <v>656</v>
      </c>
      <c r="AO342" s="40"/>
      <c r="AP342" s="42">
        <v>1307792</v>
      </c>
      <c r="AQ342" s="40" t="s">
        <v>973</v>
      </c>
    </row>
    <row r="343" spans="2:43" ht="60" hidden="1">
      <c r="B343">
        <v>10</v>
      </c>
      <c r="C343">
        <v>901453572</v>
      </c>
      <c r="D343" t="s">
        <v>1860</v>
      </c>
      <c r="E343" t="s">
        <v>1860</v>
      </c>
      <c r="F343">
        <v>901453572</v>
      </c>
      <c r="G343" t="s">
        <v>1860</v>
      </c>
      <c r="H343" t="s">
        <v>1861</v>
      </c>
      <c r="I343" t="s">
        <v>46</v>
      </c>
      <c r="J343" t="s">
        <v>47</v>
      </c>
      <c r="K343" t="s">
        <v>49</v>
      </c>
      <c r="L343">
        <v>1</v>
      </c>
      <c r="M343">
        <v>1</v>
      </c>
      <c r="N343">
        <v>-1</v>
      </c>
      <c r="O343" t="s">
        <v>48</v>
      </c>
      <c r="P343" t="s">
        <v>50</v>
      </c>
      <c r="Q343" t="s">
        <v>1862</v>
      </c>
      <c r="R343">
        <v>2024</v>
      </c>
      <c r="S343" t="s">
        <v>65</v>
      </c>
      <c r="T343" t="s">
        <v>334</v>
      </c>
      <c r="U343" s="8">
        <v>45587.716620370367</v>
      </c>
      <c r="V343" s="2" t="s">
        <v>1863</v>
      </c>
      <c r="X343" t="s">
        <v>1252</v>
      </c>
      <c r="Z343" t="s">
        <v>807</v>
      </c>
      <c r="AA343">
        <v>3628625</v>
      </c>
      <c r="AB343" t="s">
        <v>1864</v>
      </c>
      <c r="AC343">
        <v>2</v>
      </c>
    </row>
    <row r="344" spans="2:43" s="16" customFormat="1" ht="45" hidden="1">
      <c r="B344" s="16">
        <v>10</v>
      </c>
      <c r="C344" s="16">
        <v>901093078</v>
      </c>
      <c r="D344" s="16" t="s">
        <v>80</v>
      </c>
      <c r="E344" s="16" t="s">
        <v>81</v>
      </c>
      <c r="F344" s="16">
        <v>901093078</v>
      </c>
      <c r="G344" s="16" t="s">
        <v>81</v>
      </c>
      <c r="H344" s="16" t="s">
        <v>83</v>
      </c>
      <c r="I344" s="16" t="s">
        <v>84</v>
      </c>
      <c r="J344" s="16" t="s">
        <v>47</v>
      </c>
      <c r="K344" s="16" t="s">
        <v>48</v>
      </c>
      <c r="L344" s="16">
        <v>0</v>
      </c>
      <c r="M344" s="16">
        <v>0</v>
      </c>
      <c r="N344" s="16">
        <v>-2</v>
      </c>
      <c r="O344" s="16" t="s">
        <v>48</v>
      </c>
      <c r="P344" s="16" t="s">
        <v>85</v>
      </c>
      <c r="Q344" s="16" t="s">
        <v>1865</v>
      </c>
      <c r="R344" s="16">
        <v>2024</v>
      </c>
      <c r="S344" s="16" t="s">
        <v>87</v>
      </c>
      <c r="T344" s="16" t="s">
        <v>1866</v>
      </c>
      <c r="U344" s="17">
        <v>45588.36414351852</v>
      </c>
      <c r="V344" s="18" t="s">
        <v>1867</v>
      </c>
      <c r="X344" s="16" t="s">
        <v>1252</v>
      </c>
      <c r="Z344" s="16" t="s">
        <v>807</v>
      </c>
      <c r="AA344" s="16">
        <v>7361166</v>
      </c>
      <c r="AB344" s="16" t="s">
        <v>90</v>
      </c>
      <c r="AC344" s="16">
        <v>2</v>
      </c>
      <c r="AD344" s="18"/>
      <c r="AJ344" s="21"/>
      <c r="AK344" s="21"/>
      <c r="AP344" s="43"/>
    </row>
    <row r="345" spans="2:43" ht="45" hidden="1">
      <c r="B345">
        <v>10</v>
      </c>
      <c r="C345">
        <v>901349813</v>
      </c>
      <c r="D345" t="s">
        <v>1868</v>
      </c>
      <c r="E345" t="s">
        <v>1868</v>
      </c>
      <c r="F345">
        <v>901349813</v>
      </c>
      <c r="G345" t="s">
        <v>1868</v>
      </c>
      <c r="H345" t="s">
        <v>1869</v>
      </c>
      <c r="I345" t="s">
        <v>104</v>
      </c>
      <c r="J345" t="s">
        <v>114</v>
      </c>
      <c r="K345" t="s">
        <v>48</v>
      </c>
      <c r="L345">
        <v>9</v>
      </c>
      <c r="M345">
        <v>6</v>
      </c>
      <c r="N345">
        <v>7</v>
      </c>
      <c r="O345" t="s">
        <v>49</v>
      </c>
      <c r="P345" t="s">
        <v>106</v>
      </c>
      <c r="Q345" t="s">
        <v>1870</v>
      </c>
      <c r="R345">
        <v>2024</v>
      </c>
      <c r="S345" t="s">
        <v>52</v>
      </c>
      <c r="T345" t="s">
        <v>116</v>
      </c>
      <c r="U345" s="8">
        <v>45588.605729166666</v>
      </c>
      <c r="V345" s="2" t="s">
        <v>1871</v>
      </c>
      <c r="X345" t="s">
        <v>55</v>
      </c>
      <c r="Y345" t="s">
        <v>56</v>
      </c>
      <c r="Z345" t="s">
        <v>807</v>
      </c>
      <c r="AA345">
        <v>2696</v>
      </c>
      <c r="AB345">
        <v>3108612870</v>
      </c>
      <c r="AC345" t="s">
        <v>1872</v>
      </c>
    </row>
    <row r="346" spans="2:43" ht="45" hidden="1">
      <c r="B346">
        <v>10</v>
      </c>
      <c r="C346">
        <v>901040943</v>
      </c>
      <c r="D346" t="s">
        <v>1873</v>
      </c>
      <c r="E346" t="s">
        <v>1874</v>
      </c>
      <c r="F346">
        <v>901040943</v>
      </c>
      <c r="G346" t="s">
        <v>1874</v>
      </c>
      <c r="H346" t="s">
        <v>1875</v>
      </c>
      <c r="I346" t="s">
        <v>884</v>
      </c>
      <c r="J346" t="s">
        <v>47</v>
      </c>
      <c r="K346" t="s">
        <v>48</v>
      </c>
      <c r="L346">
        <v>9</v>
      </c>
      <c r="M346">
        <v>6</v>
      </c>
      <c r="N346">
        <v>7</v>
      </c>
      <c r="O346" t="s">
        <v>49</v>
      </c>
      <c r="P346" t="s">
        <v>131</v>
      </c>
      <c r="Q346" t="s">
        <v>1876</v>
      </c>
      <c r="R346">
        <v>2024</v>
      </c>
      <c r="S346" t="s">
        <v>65</v>
      </c>
      <c r="T346" t="s">
        <v>77</v>
      </c>
      <c r="U346" s="8">
        <v>45588.611273148148</v>
      </c>
      <c r="V346" s="2" t="s">
        <v>1877</v>
      </c>
      <c r="X346" t="s">
        <v>55</v>
      </c>
      <c r="Y346" t="s">
        <v>56</v>
      </c>
      <c r="Z346" t="s">
        <v>807</v>
      </c>
      <c r="AA346">
        <v>2428</v>
      </c>
      <c r="AB346">
        <v>3156128016</v>
      </c>
      <c r="AC346" t="s">
        <v>1878</v>
      </c>
    </row>
    <row r="347" spans="2:43" ht="45" hidden="1">
      <c r="B347">
        <v>10</v>
      </c>
      <c r="C347">
        <v>70907784</v>
      </c>
      <c r="D347" t="s">
        <v>1879</v>
      </c>
      <c r="E347" t="s">
        <v>1880</v>
      </c>
      <c r="F347">
        <v>70907784</v>
      </c>
      <c r="G347" t="s">
        <v>1880</v>
      </c>
      <c r="H347" t="s">
        <v>1881</v>
      </c>
      <c r="I347" t="s">
        <v>264</v>
      </c>
      <c r="J347" t="s">
        <v>47</v>
      </c>
      <c r="K347" t="s">
        <v>48</v>
      </c>
      <c r="L347">
        <v>9</v>
      </c>
      <c r="M347">
        <v>6</v>
      </c>
      <c r="N347">
        <v>7</v>
      </c>
      <c r="O347" t="s">
        <v>48</v>
      </c>
      <c r="P347" t="s">
        <v>265</v>
      </c>
      <c r="Q347" t="s">
        <v>1882</v>
      </c>
      <c r="R347">
        <v>2024</v>
      </c>
      <c r="S347" t="s">
        <v>65</v>
      </c>
      <c r="T347" t="s">
        <v>293</v>
      </c>
      <c r="U347" s="8">
        <v>45588.615648148145</v>
      </c>
      <c r="V347" s="2" t="s">
        <v>1883</v>
      </c>
      <c r="X347" t="s">
        <v>55</v>
      </c>
      <c r="Y347" t="s">
        <v>56</v>
      </c>
      <c r="Z347" t="s">
        <v>807</v>
      </c>
      <c r="AA347">
        <v>1058</v>
      </c>
      <c r="AB347">
        <v>3122374278</v>
      </c>
      <c r="AC347" t="s">
        <v>1884</v>
      </c>
    </row>
    <row r="348" spans="2:43" ht="75" hidden="1">
      <c r="B348">
        <v>10</v>
      </c>
      <c r="C348">
        <v>900703487</v>
      </c>
      <c r="D348" t="s">
        <v>1885</v>
      </c>
      <c r="E348" t="s">
        <v>1885</v>
      </c>
      <c r="F348">
        <v>900703487</v>
      </c>
      <c r="G348" t="s">
        <v>1885</v>
      </c>
      <c r="H348" t="s">
        <v>1886</v>
      </c>
      <c r="I348" t="s">
        <v>104</v>
      </c>
      <c r="J348" t="s">
        <v>47</v>
      </c>
      <c r="K348" t="s">
        <v>48</v>
      </c>
      <c r="L348">
        <v>9</v>
      </c>
      <c r="M348">
        <v>6</v>
      </c>
      <c r="N348">
        <v>7</v>
      </c>
      <c r="O348" t="s">
        <v>48</v>
      </c>
      <c r="P348" t="s">
        <v>106</v>
      </c>
      <c r="Q348" t="s">
        <v>1887</v>
      </c>
      <c r="R348">
        <v>2024</v>
      </c>
      <c r="S348" t="s">
        <v>65</v>
      </c>
      <c r="T348" t="s">
        <v>334</v>
      </c>
      <c r="U348" s="8">
        <v>45588.647638888891</v>
      </c>
      <c r="V348" s="2" t="s">
        <v>1888</v>
      </c>
      <c r="X348" t="s">
        <v>55</v>
      </c>
      <c r="Y348" t="s">
        <v>56</v>
      </c>
      <c r="Z348" t="s">
        <v>807</v>
      </c>
      <c r="AA348">
        <v>2224</v>
      </c>
      <c r="AB348">
        <v>9249115</v>
      </c>
      <c r="AC348" t="s">
        <v>1889</v>
      </c>
    </row>
    <row r="349" spans="2:43" ht="33.75" hidden="1" customHeight="1">
      <c r="B349">
        <v>10</v>
      </c>
      <c r="C349">
        <v>91110911</v>
      </c>
      <c r="D349" t="s">
        <v>1890</v>
      </c>
      <c r="E349" t="s">
        <v>1891</v>
      </c>
      <c r="F349">
        <v>91110911</v>
      </c>
      <c r="G349" t="s">
        <v>1891</v>
      </c>
      <c r="H349" t="s">
        <v>1892</v>
      </c>
      <c r="I349" t="s">
        <v>1893</v>
      </c>
      <c r="J349" t="s">
        <v>47</v>
      </c>
      <c r="K349" t="s">
        <v>48</v>
      </c>
      <c r="L349">
        <v>8</v>
      </c>
      <c r="M349">
        <v>8</v>
      </c>
      <c r="N349">
        <v>6</v>
      </c>
      <c r="O349" t="s">
        <v>49</v>
      </c>
      <c r="P349" t="s">
        <v>180</v>
      </c>
      <c r="Q349" t="s">
        <v>1894</v>
      </c>
      <c r="R349">
        <v>2024</v>
      </c>
      <c r="S349" t="s">
        <v>124</v>
      </c>
      <c r="T349" t="s">
        <v>125</v>
      </c>
      <c r="U349" s="8">
        <v>45589.449895833335</v>
      </c>
      <c r="V349" s="2" t="s">
        <v>1895</v>
      </c>
      <c r="X349" t="s">
        <v>55</v>
      </c>
      <c r="Y349" t="s">
        <v>56</v>
      </c>
      <c r="Z349" t="s">
        <v>807</v>
      </c>
      <c r="AA349">
        <v>2915</v>
      </c>
      <c r="AB349">
        <v>3162937195</v>
      </c>
      <c r="AC349" t="s">
        <v>1896</v>
      </c>
    </row>
    <row r="350" spans="2:43" s="15" customFormat="1" ht="45" customHeight="1">
      <c r="B350" s="15">
        <v>10</v>
      </c>
      <c r="C350" s="15">
        <v>800175388</v>
      </c>
      <c r="D350" s="29" t="s">
        <v>875</v>
      </c>
      <c r="E350" s="15" t="s">
        <v>875</v>
      </c>
      <c r="F350">
        <v>800175388</v>
      </c>
      <c r="G350" t="s">
        <v>875</v>
      </c>
      <c r="H350" t="s">
        <v>876</v>
      </c>
      <c r="I350" t="s">
        <v>227</v>
      </c>
      <c r="J350" t="s">
        <v>47</v>
      </c>
      <c r="K350" t="s">
        <v>48</v>
      </c>
      <c r="L350">
        <v>8</v>
      </c>
      <c r="M350">
        <v>2</v>
      </c>
      <c r="N350">
        <v>6</v>
      </c>
      <c r="O350" s="15" t="s">
        <v>105</v>
      </c>
      <c r="P350" t="s">
        <v>228</v>
      </c>
      <c r="Q350" s="15" t="s">
        <v>1897</v>
      </c>
      <c r="R350">
        <v>2024</v>
      </c>
      <c r="S350" t="s">
        <v>65</v>
      </c>
      <c r="T350" t="s">
        <v>66</v>
      </c>
      <c r="U350" s="25">
        <v>45589.611990740741</v>
      </c>
      <c r="V350" s="14" t="s">
        <v>1898</v>
      </c>
      <c r="W350"/>
      <c r="X350" t="s">
        <v>1252</v>
      </c>
      <c r="Y350"/>
      <c r="Z350" t="s">
        <v>807</v>
      </c>
      <c r="AA350">
        <v>1353</v>
      </c>
      <c r="AB350">
        <v>8741167</v>
      </c>
      <c r="AC350" t="s">
        <v>879</v>
      </c>
      <c r="AD350" s="13" t="s">
        <v>1899</v>
      </c>
      <c r="AE350" s="15" t="s">
        <v>1900</v>
      </c>
      <c r="AF350" s="15" t="s">
        <v>1901</v>
      </c>
      <c r="AG350" s="30" t="s">
        <v>592</v>
      </c>
      <c r="AH350" s="30" t="s">
        <v>55</v>
      </c>
      <c r="AI350" s="25">
        <v>45615</v>
      </c>
      <c r="AJ350" s="33"/>
      <c r="AK350" s="33"/>
      <c r="AL350" s="15" t="s">
        <v>1194</v>
      </c>
      <c r="AM350" s="14" t="s">
        <v>607</v>
      </c>
      <c r="AN350" s="15" t="s">
        <v>1253</v>
      </c>
      <c r="AO350" s="14" t="s">
        <v>1902</v>
      </c>
      <c r="AP350" s="28">
        <v>24029432</v>
      </c>
      <c r="AQ350" s="15" t="s">
        <v>598</v>
      </c>
    </row>
    <row r="351" spans="2:43" s="15" customFormat="1" ht="60">
      <c r="B351" s="15">
        <v>10</v>
      </c>
      <c r="C351" s="15">
        <v>860513360</v>
      </c>
      <c r="D351" s="29" t="s">
        <v>1903</v>
      </c>
      <c r="E351" s="15" t="s">
        <v>1903</v>
      </c>
      <c r="F351">
        <v>860513360</v>
      </c>
      <c r="G351" t="s">
        <v>1903</v>
      </c>
      <c r="H351" t="s">
        <v>1904</v>
      </c>
      <c r="I351" t="s">
        <v>104</v>
      </c>
      <c r="J351" t="s">
        <v>114</v>
      </c>
      <c r="K351" t="s">
        <v>105</v>
      </c>
      <c r="L351">
        <v>7</v>
      </c>
      <c r="M351">
        <v>7</v>
      </c>
      <c r="N351">
        <v>5</v>
      </c>
      <c r="O351" s="15" t="s">
        <v>105</v>
      </c>
      <c r="P351" t="s">
        <v>106</v>
      </c>
      <c r="Q351" s="15" t="s">
        <v>1905</v>
      </c>
      <c r="R351">
        <v>2024</v>
      </c>
      <c r="S351" t="s">
        <v>124</v>
      </c>
      <c r="T351" t="s">
        <v>284</v>
      </c>
      <c r="U351" s="25">
        <v>45590.476006944446</v>
      </c>
      <c r="V351" s="14" t="s">
        <v>1906</v>
      </c>
      <c r="W351"/>
      <c r="X351" t="s">
        <v>1252</v>
      </c>
      <c r="Y351"/>
      <c r="Z351" t="s">
        <v>807</v>
      </c>
      <c r="AA351">
        <v>1654</v>
      </c>
      <c r="AB351">
        <v>7446779</v>
      </c>
      <c r="AC351" t="s">
        <v>1907</v>
      </c>
      <c r="AD351" s="13" t="s">
        <v>1899</v>
      </c>
      <c r="AE351" s="15" t="s">
        <v>1908</v>
      </c>
      <c r="AF351" s="15" t="s">
        <v>1909</v>
      </c>
      <c r="AG351" s="30" t="s">
        <v>592</v>
      </c>
      <c r="AH351" s="15" t="s">
        <v>1787</v>
      </c>
      <c r="AI351" s="25">
        <v>45602</v>
      </c>
      <c r="AJ351" s="33">
        <f>NETWORKDAYS.INTL(Tabla1[[#This Row],[Fechas Creacion]],Tabla1[[#This Row],[Fecha informe]],1)</f>
        <v>9</v>
      </c>
      <c r="AK351" s="33" t="s">
        <v>1910</v>
      </c>
      <c r="AL351" s="40" t="s">
        <v>594</v>
      </c>
      <c r="AM351" s="14" t="s">
        <v>607</v>
      </c>
      <c r="AN351" s="15" t="s">
        <v>1253</v>
      </c>
      <c r="AO351" s="14" t="s">
        <v>1911</v>
      </c>
      <c r="AP351" s="28">
        <v>31713500</v>
      </c>
      <c r="AQ351" s="40" t="s">
        <v>973</v>
      </c>
    </row>
    <row r="352" spans="2:43" ht="45">
      <c r="B352">
        <v>10</v>
      </c>
      <c r="C352">
        <v>71311965</v>
      </c>
      <c r="D352" s="44" t="s">
        <v>1912</v>
      </c>
      <c r="E352" t="s">
        <v>1912</v>
      </c>
      <c r="F352">
        <v>71311965</v>
      </c>
      <c r="G352" t="s">
        <v>1912</v>
      </c>
      <c r="H352" t="s">
        <v>1913</v>
      </c>
      <c r="I352" t="s">
        <v>211</v>
      </c>
      <c r="J352" t="s">
        <v>47</v>
      </c>
      <c r="K352" t="s">
        <v>105</v>
      </c>
      <c r="L352">
        <v>4</v>
      </c>
      <c r="M352">
        <v>4</v>
      </c>
      <c r="N352">
        <v>2</v>
      </c>
      <c r="O352" t="s">
        <v>105</v>
      </c>
      <c r="P352" t="s">
        <v>63</v>
      </c>
      <c r="Q352" t="s">
        <v>1914</v>
      </c>
      <c r="R352">
        <v>2024</v>
      </c>
      <c r="S352" t="s">
        <v>65</v>
      </c>
      <c r="T352" t="s">
        <v>66</v>
      </c>
      <c r="U352" s="8">
        <v>45593.475856481484</v>
      </c>
      <c r="V352" s="2" t="s">
        <v>1915</v>
      </c>
      <c r="X352" t="s">
        <v>1252</v>
      </c>
      <c r="Z352" t="s">
        <v>807</v>
      </c>
      <c r="AA352">
        <v>1096</v>
      </c>
      <c r="AB352">
        <v>3621836</v>
      </c>
      <c r="AC352" t="s">
        <v>1916</v>
      </c>
      <c r="AD352" s="13" t="s">
        <v>1899</v>
      </c>
      <c r="AE352" t="s">
        <v>1917</v>
      </c>
      <c r="AF352" t="s">
        <v>1918</v>
      </c>
      <c r="AG352" s="30" t="s">
        <v>592</v>
      </c>
      <c r="AH352" t="s">
        <v>55</v>
      </c>
      <c r="AI352" s="8">
        <v>45609</v>
      </c>
      <c r="AL352" t="s">
        <v>594</v>
      </c>
      <c r="AM352" s="14" t="s">
        <v>607</v>
      </c>
      <c r="AN352" t="s">
        <v>1502</v>
      </c>
      <c r="AO352" s="14" t="s">
        <v>1919</v>
      </c>
      <c r="AP352" s="28">
        <v>634032</v>
      </c>
      <c r="AQ352" s="15" t="s">
        <v>598</v>
      </c>
    </row>
    <row r="353" spans="1:43" s="15" customFormat="1" ht="60">
      <c r="B353" s="15">
        <v>10</v>
      </c>
      <c r="C353" s="15">
        <v>901478247</v>
      </c>
      <c r="D353" s="45" t="s">
        <v>1920</v>
      </c>
      <c r="E353" s="15" t="s">
        <v>1920</v>
      </c>
      <c r="F353" s="15">
        <v>901478247</v>
      </c>
      <c r="G353" s="15" t="s">
        <v>1920</v>
      </c>
      <c r="H353" s="15" t="s">
        <v>1921</v>
      </c>
      <c r="I353" s="15" t="s">
        <v>517</v>
      </c>
      <c r="J353" s="15" t="s">
        <v>47</v>
      </c>
      <c r="K353" s="15" t="s">
        <v>62</v>
      </c>
      <c r="L353" s="15">
        <v>4</v>
      </c>
      <c r="M353" s="15">
        <v>3</v>
      </c>
      <c r="N353" s="15">
        <v>2</v>
      </c>
      <c r="O353" s="15" t="s">
        <v>62</v>
      </c>
      <c r="P353" s="15" t="s">
        <v>63</v>
      </c>
      <c r="Q353" s="15" t="s">
        <v>1922</v>
      </c>
      <c r="R353" s="15">
        <v>2024</v>
      </c>
      <c r="S353" s="15" t="s">
        <v>65</v>
      </c>
      <c r="T353" s="15" t="s">
        <v>66</v>
      </c>
      <c r="U353" s="25">
        <v>45593.498854166668</v>
      </c>
      <c r="V353" s="14" t="s">
        <v>1923</v>
      </c>
      <c r="X353" s="15" t="s">
        <v>1252</v>
      </c>
      <c r="Z353" s="15" t="s">
        <v>807</v>
      </c>
      <c r="AA353" s="15">
        <v>2802</v>
      </c>
      <c r="AB353" s="15">
        <v>3147856759</v>
      </c>
      <c r="AC353" s="15" t="s">
        <v>1924</v>
      </c>
      <c r="AD353" s="13" t="s">
        <v>70</v>
      </c>
      <c r="AE353" s="15" t="s">
        <v>1925</v>
      </c>
      <c r="AF353" s="15" t="s">
        <v>1926</v>
      </c>
      <c r="AG353" s="15" t="s">
        <v>592</v>
      </c>
      <c r="AH353" s="15" t="s">
        <v>1787</v>
      </c>
      <c r="AI353" s="25">
        <v>45635</v>
      </c>
      <c r="AJ353" s="33"/>
      <c r="AK353" s="33"/>
      <c r="AL353" s="15" t="s">
        <v>1194</v>
      </c>
      <c r="AM353" s="14" t="s">
        <v>595</v>
      </c>
      <c r="AN353" s="15" t="s">
        <v>688</v>
      </c>
      <c r="AO353" s="14" t="s">
        <v>1927</v>
      </c>
      <c r="AP353" s="28">
        <v>205800</v>
      </c>
      <c r="AQ353" s="40" t="s">
        <v>973</v>
      </c>
    </row>
    <row r="354" spans="1:43" hidden="1">
      <c r="B354">
        <v>10</v>
      </c>
      <c r="C354">
        <v>98571076</v>
      </c>
      <c r="D354" t="s">
        <v>801</v>
      </c>
      <c r="E354" t="s">
        <v>802</v>
      </c>
      <c r="F354">
        <v>70628422</v>
      </c>
      <c r="G354" t="s">
        <v>1928</v>
      </c>
      <c r="H354" t="s">
        <v>804</v>
      </c>
      <c r="I354" t="s">
        <v>211</v>
      </c>
      <c r="J354" t="s">
        <v>47</v>
      </c>
      <c r="K354" t="s">
        <v>49</v>
      </c>
      <c r="L354">
        <v>4</v>
      </c>
      <c r="M354">
        <v>4</v>
      </c>
      <c r="N354">
        <v>2</v>
      </c>
      <c r="O354" t="s">
        <v>49</v>
      </c>
      <c r="P354" t="s">
        <v>63</v>
      </c>
      <c r="Q354" t="s">
        <v>1929</v>
      </c>
      <c r="R354">
        <v>2024</v>
      </c>
      <c r="S354" t="s">
        <v>124</v>
      </c>
      <c r="T354" t="s">
        <v>125</v>
      </c>
      <c r="U354" s="8">
        <v>45593.638460648152</v>
      </c>
      <c r="V354" s="2" t="s">
        <v>1930</v>
      </c>
      <c r="X354" t="s">
        <v>1252</v>
      </c>
      <c r="Z354" t="s">
        <v>1931</v>
      </c>
      <c r="AA354">
        <v>2991</v>
      </c>
      <c r="AB354">
        <v>2505386</v>
      </c>
      <c r="AC354" t="s">
        <v>808</v>
      </c>
    </row>
    <row r="355" spans="1:43" hidden="1">
      <c r="B355">
        <v>10</v>
      </c>
      <c r="C355">
        <v>98571076</v>
      </c>
      <c r="D355" t="s">
        <v>801</v>
      </c>
      <c r="E355" t="s">
        <v>802</v>
      </c>
      <c r="F355">
        <v>70620814</v>
      </c>
      <c r="G355" t="s">
        <v>1932</v>
      </c>
      <c r="H355" t="s">
        <v>804</v>
      </c>
      <c r="I355" t="s">
        <v>211</v>
      </c>
      <c r="J355" t="s">
        <v>114</v>
      </c>
      <c r="K355" t="s">
        <v>49</v>
      </c>
      <c r="L355">
        <v>4</v>
      </c>
      <c r="M355">
        <v>4</v>
      </c>
      <c r="N355">
        <v>2</v>
      </c>
      <c r="O355" t="s">
        <v>49</v>
      </c>
      <c r="P355" t="s">
        <v>63</v>
      </c>
      <c r="Q355" t="s">
        <v>1933</v>
      </c>
      <c r="R355">
        <v>2024</v>
      </c>
      <c r="S355" t="s">
        <v>52</v>
      </c>
      <c r="T355" t="s">
        <v>116</v>
      </c>
      <c r="U355" s="8">
        <v>45593.642314814817</v>
      </c>
      <c r="V355" s="2" t="s">
        <v>1934</v>
      </c>
      <c r="X355" t="s">
        <v>1252</v>
      </c>
      <c r="Z355" t="s">
        <v>1931</v>
      </c>
      <c r="AA355">
        <v>2991</v>
      </c>
      <c r="AB355">
        <v>2505386</v>
      </c>
      <c r="AC355" t="s">
        <v>808</v>
      </c>
    </row>
    <row r="356" spans="1:43" ht="45" hidden="1">
      <c r="B356">
        <v>10</v>
      </c>
      <c r="C356">
        <v>16359544</v>
      </c>
      <c r="D356" t="s">
        <v>1935</v>
      </c>
      <c r="E356" t="s">
        <v>1936</v>
      </c>
      <c r="F356">
        <v>16359544</v>
      </c>
      <c r="G356">
        <v>16359544</v>
      </c>
      <c r="H356" t="s">
        <v>1937</v>
      </c>
      <c r="I356" t="s">
        <v>1938</v>
      </c>
      <c r="J356" t="s">
        <v>47</v>
      </c>
      <c r="K356" t="s">
        <v>49</v>
      </c>
      <c r="L356">
        <v>3</v>
      </c>
      <c r="M356">
        <v>3</v>
      </c>
      <c r="N356">
        <v>1</v>
      </c>
      <c r="O356" t="s">
        <v>48</v>
      </c>
      <c r="P356" t="s">
        <v>97</v>
      </c>
      <c r="Q356" t="s">
        <v>1939</v>
      </c>
      <c r="R356">
        <v>2024</v>
      </c>
      <c r="S356" t="s">
        <v>65</v>
      </c>
      <c r="T356" t="s">
        <v>293</v>
      </c>
      <c r="U356" s="8">
        <v>45594.630532407406</v>
      </c>
      <c r="V356" s="2" t="s">
        <v>1940</v>
      </c>
      <c r="X356" t="s">
        <v>1252</v>
      </c>
      <c r="Z356" t="s">
        <v>807</v>
      </c>
      <c r="AA356">
        <v>417</v>
      </c>
      <c r="AB356">
        <v>2256961</v>
      </c>
      <c r="AC356" t="s">
        <v>1941</v>
      </c>
    </row>
    <row r="357" spans="1:43" ht="45" hidden="1">
      <c r="B357">
        <v>10</v>
      </c>
      <c r="C357">
        <v>25193396</v>
      </c>
      <c r="D357" t="s">
        <v>1942</v>
      </c>
      <c r="E357" t="s">
        <v>1943</v>
      </c>
      <c r="F357">
        <v>25193396</v>
      </c>
      <c r="G357" t="s">
        <v>1943</v>
      </c>
      <c r="H357" t="s">
        <v>1944</v>
      </c>
      <c r="I357" t="s">
        <v>1945</v>
      </c>
      <c r="J357" t="s">
        <v>47</v>
      </c>
      <c r="K357" t="s">
        <v>49</v>
      </c>
      <c r="L357">
        <v>3</v>
      </c>
      <c r="M357">
        <v>3</v>
      </c>
      <c r="N357">
        <v>1</v>
      </c>
      <c r="O357" t="s">
        <v>48</v>
      </c>
      <c r="P357" t="s">
        <v>785</v>
      </c>
      <c r="Q357" t="s">
        <v>1946</v>
      </c>
      <c r="R357">
        <v>2024</v>
      </c>
      <c r="S357" t="s">
        <v>65</v>
      </c>
      <c r="T357" t="s">
        <v>293</v>
      </c>
      <c r="U357" s="8">
        <v>45594.641238425924</v>
      </c>
      <c r="V357" s="2" t="s">
        <v>1947</v>
      </c>
      <c r="X357" t="s">
        <v>1252</v>
      </c>
      <c r="Z357" t="s">
        <v>807</v>
      </c>
      <c r="AA357">
        <v>544</v>
      </c>
      <c r="AB357">
        <v>3300872</v>
      </c>
      <c r="AC357" t="s">
        <v>1948</v>
      </c>
    </row>
    <row r="358" spans="1:43" ht="60">
      <c r="B358">
        <v>10</v>
      </c>
      <c r="C358">
        <v>901821354</v>
      </c>
      <c r="D358" s="44" t="s">
        <v>1949</v>
      </c>
      <c r="E358" t="s">
        <v>1949</v>
      </c>
      <c r="F358">
        <v>901821354</v>
      </c>
      <c r="G358" t="s">
        <v>1949</v>
      </c>
      <c r="H358" t="s">
        <v>1950</v>
      </c>
      <c r="I358" t="s">
        <v>984</v>
      </c>
      <c r="J358" t="s">
        <v>114</v>
      </c>
      <c r="K358" t="s">
        <v>436</v>
      </c>
      <c r="L358">
        <v>2</v>
      </c>
      <c r="M358">
        <v>2</v>
      </c>
      <c r="N358">
        <v>0</v>
      </c>
      <c r="O358" t="s">
        <v>436</v>
      </c>
      <c r="P358" t="s">
        <v>291</v>
      </c>
      <c r="Q358" t="s">
        <v>1951</v>
      </c>
      <c r="R358">
        <v>2024</v>
      </c>
      <c r="S358" t="s">
        <v>52</v>
      </c>
      <c r="T358" t="s">
        <v>116</v>
      </c>
      <c r="U358" s="8">
        <v>45595.371701388889</v>
      </c>
      <c r="V358" s="2" t="s">
        <v>1952</v>
      </c>
      <c r="X358" t="s">
        <v>1252</v>
      </c>
      <c r="Z358" t="s">
        <v>807</v>
      </c>
      <c r="AA358">
        <v>3246</v>
      </c>
      <c r="AB358">
        <v>3188095387</v>
      </c>
      <c r="AC358" t="s">
        <v>1953</v>
      </c>
      <c r="AD358" s="46" t="s">
        <v>439</v>
      </c>
      <c r="AE358" t="s">
        <v>1954</v>
      </c>
      <c r="AF358" t="s">
        <v>1955</v>
      </c>
      <c r="AG358" t="s">
        <v>1956</v>
      </c>
      <c r="AH358" t="s">
        <v>1787</v>
      </c>
      <c r="AM358" s="40" t="s">
        <v>595</v>
      </c>
      <c r="AN358" s="15" t="s">
        <v>440</v>
      </c>
      <c r="AO358" s="19" t="s">
        <v>1957</v>
      </c>
      <c r="AP358" s="36">
        <v>6367</v>
      </c>
      <c r="AQ358" s="15" t="s">
        <v>598</v>
      </c>
    </row>
    <row r="359" spans="1:43" ht="45">
      <c r="B359">
        <v>10</v>
      </c>
      <c r="C359">
        <v>900369991</v>
      </c>
      <c r="D359" s="44" t="s">
        <v>1958</v>
      </c>
      <c r="E359" t="s">
        <v>1958</v>
      </c>
      <c r="F359">
        <v>900369991</v>
      </c>
      <c r="G359" t="s">
        <v>1958</v>
      </c>
      <c r="H359" t="s">
        <v>1959</v>
      </c>
      <c r="I359" t="s">
        <v>984</v>
      </c>
      <c r="J359" t="s">
        <v>47</v>
      </c>
      <c r="K359" t="s">
        <v>62</v>
      </c>
      <c r="L359">
        <v>2</v>
      </c>
      <c r="M359">
        <v>2</v>
      </c>
      <c r="N359">
        <v>0</v>
      </c>
      <c r="O359" t="s">
        <v>62</v>
      </c>
      <c r="P359" t="s">
        <v>291</v>
      </c>
      <c r="Q359" t="s">
        <v>1960</v>
      </c>
      <c r="R359">
        <v>2024</v>
      </c>
      <c r="S359" t="s">
        <v>65</v>
      </c>
      <c r="T359" t="s">
        <v>66</v>
      </c>
      <c r="U359" s="8">
        <v>45595.410821759258</v>
      </c>
      <c r="V359" s="2" t="s">
        <v>1961</v>
      </c>
      <c r="X359" t="s">
        <v>1252</v>
      </c>
      <c r="Z359" t="s">
        <v>807</v>
      </c>
      <c r="AA359">
        <v>1957</v>
      </c>
      <c r="AB359">
        <v>8884750</v>
      </c>
      <c r="AC359" t="s">
        <v>1962</v>
      </c>
      <c r="AD359" s="2" t="s">
        <v>91</v>
      </c>
      <c r="AE359" t="s">
        <v>1963</v>
      </c>
      <c r="AF359" t="s">
        <v>1964</v>
      </c>
      <c r="AG359" t="s">
        <v>1956</v>
      </c>
      <c r="AH359" t="s">
        <v>1787</v>
      </c>
      <c r="AI359" s="8">
        <v>45604</v>
      </c>
      <c r="AL359" t="s">
        <v>594</v>
      </c>
      <c r="AM359" s="40" t="s">
        <v>595</v>
      </c>
      <c r="AN359" s="20" t="s">
        <v>1965</v>
      </c>
      <c r="AO359" s="14" t="s">
        <v>1966</v>
      </c>
    </row>
    <row r="360" spans="1:43" ht="45" hidden="1">
      <c r="B360">
        <v>10</v>
      </c>
      <c r="C360">
        <v>98571076</v>
      </c>
      <c r="D360" t="s">
        <v>801</v>
      </c>
      <c r="E360" t="s">
        <v>802</v>
      </c>
      <c r="F360">
        <v>1035231166</v>
      </c>
      <c r="G360" t="s">
        <v>1967</v>
      </c>
      <c r="H360" t="s">
        <v>804</v>
      </c>
      <c r="I360" t="s">
        <v>211</v>
      </c>
      <c r="J360" t="s">
        <v>47</v>
      </c>
      <c r="K360" t="s">
        <v>49</v>
      </c>
      <c r="L360">
        <v>2</v>
      </c>
      <c r="M360">
        <v>2</v>
      </c>
      <c r="N360">
        <v>0</v>
      </c>
      <c r="O360" t="s">
        <v>49</v>
      </c>
      <c r="P360" t="s">
        <v>63</v>
      </c>
      <c r="Q360" t="s">
        <v>1968</v>
      </c>
      <c r="R360">
        <v>2024</v>
      </c>
      <c r="S360" t="s">
        <v>65</v>
      </c>
      <c r="T360" t="s">
        <v>125</v>
      </c>
      <c r="U360" s="8">
        <v>45595.445173611108</v>
      </c>
      <c r="V360" s="2" t="s">
        <v>1969</v>
      </c>
      <c r="X360" t="s">
        <v>1252</v>
      </c>
      <c r="Z360" t="s">
        <v>1970</v>
      </c>
      <c r="AA360">
        <v>2991</v>
      </c>
      <c r="AB360">
        <v>2505386</v>
      </c>
      <c r="AC360" t="s">
        <v>808</v>
      </c>
    </row>
    <row r="361" spans="1:43" s="15" customFormat="1" ht="45">
      <c r="B361" s="15">
        <v>10</v>
      </c>
      <c r="C361" s="15">
        <v>71315681</v>
      </c>
      <c r="D361" s="29" t="s">
        <v>1971</v>
      </c>
      <c r="E361" s="15" t="s">
        <v>1971</v>
      </c>
      <c r="F361">
        <v>71315681</v>
      </c>
      <c r="G361" t="s">
        <v>1971</v>
      </c>
      <c r="H361" t="s">
        <v>1972</v>
      </c>
      <c r="I361" t="s">
        <v>211</v>
      </c>
      <c r="J361" t="s">
        <v>47</v>
      </c>
      <c r="K361" t="s">
        <v>105</v>
      </c>
      <c r="L361">
        <v>2</v>
      </c>
      <c r="M361">
        <v>2</v>
      </c>
      <c r="N361">
        <v>0</v>
      </c>
      <c r="O361" s="15" t="s">
        <v>105</v>
      </c>
      <c r="P361" t="s">
        <v>63</v>
      </c>
      <c r="Q361" s="15" t="s">
        <v>1973</v>
      </c>
      <c r="R361">
        <v>2024</v>
      </c>
      <c r="S361" t="s">
        <v>65</v>
      </c>
      <c r="T361" t="s">
        <v>66</v>
      </c>
      <c r="U361" s="25">
        <v>45595.482152777775</v>
      </c>
      <c r="V361" s="14" t="s">
        <v>1974</v>
      </c>
      <c r="W361"/>
      <c r="X361" t="s">
        <v>1252</v>
      </c>
      <c r="Y361"/>
      <c r="Z361" t="s">
        <v>807</v>
      </c>
      <c r="AA361">
        <v>1098</v>
      </c>
      <c r="AB361">
        <v>5113807</v>
      </c>
      <c r="AC361" t="s">
        <v>1975</v>
      </c>
      <c r="AD361" s="13" t="s">
        <v>1899</v>
      </c>
      <c r="AE361" s="15" t="s">
        <v>1976</v>
      </c>
      <c r="AF361" s="15" t="s">
        <v>1977</v>
      </c>
      <c r="AG361" s="15" t="s">
        <v>592</v>
      </c>
      <c r="AH361" s="15" t="s">
        <v>1787</v>
      </c>
      <c r="AI361" s="25">
        <v>45614</v>
      </c>
      <c r="AJ361" s="33"/>
      <c r="AK361" s="33"/>
      <c r="AL361" s="15" t="s">
        <v>594</v>
      </c>
      <c r="AM361" s="14" t="s">
        <v>607</v>
      </c>
      <c r="AN361" s="15" t="s">
        <v>1502</v>
      </c>
      <c r="AO361" s="14" t="s">
        <v>1978</v>
      </c>
      <c r="AP361" s="28"/>
      <c r="AQ361" s="15" t="s">
        <v>598</v>
      </c>
    </row>
    <row r="362" spans="1:43" s="15" customFormat="1" ht="105">
      <c r="B362" s="15">
        <v>10</v>
      </c>
      <c r="C362" s="15">
        <v>890912995</v>
      </c>
      <c r="D362" s="29" t="s">
        <v>269</v>
      </c>
      <c r="E362" s="15" t="s">
        <v>269</v>
      </c>
      <c r="F362">
        <v>890912995</v>
      </c>
      <c r="G362" t="s">
        <v>269</v>
      </c>
      <c r="H362" t="s">
        <v>270</v>
      </c>
      <c r="I362" t="s">
        <v>211</v>
      </c>
      <c r="J362" t="s">
        <v>47</v>
      </c>
      <c r="K362" t="s">
        <v>436</v>
      </c>
      <c r="L362">
        <v>1</v>
      </c>
      <c r="M362">
        <v>1</v>
      </c>
      <c r="N362">
        <v>-1</v>
      </c>
      <c r="O362" s="14" t="s">
        <v>436</v>
      </c>
      <c r="P362" t="s">
        <v>63</v>
      </c>
      <c r="Q362" s="15" t="s">
        <v>1979</v>
      </c>
      <c r="R362">
        <v>2024</v>
      </c>
      <c r="S362" t="s">
        <v>65</v>
      </c>
      <c r="T362" t="s">
        <v>1113</v>
      </c>
      <c r="U362" s="25">
        <v>45596.580729166664</v>
      </c>
      <c r="V362" s="14" t="s">
        <v>1980</v>
      </c>
      <c r="W362"/>
      <c r="X362" t="s">
        <v>1252</v>
      </c>
      <c r="Y362"/>
      <c r="Z362" t="s">
        <v>807</v>
      </c>
      <c r="AA362">
        <v>1735</v>
      </c>
      <c r="AB362">
        <v>3220084</v>
      </c>
      <c r="AC362" t="s">
        <v>274</v>
      </c>
      <c r="AD362" s="38" t="s">
        <v>439</v>
      </c>
      <c r="AE362" s="15" t="s">
        <v>1981</v>
      </c>
      <c r="AF362" s="15" t="s">
        <v>1982</v>
      </c>
      <c r="AG362" s="15" t="s">
        <v>592</v>
      </c>
      <c r="AH362" s="15" t="s">
        <v>1787</v>
      </c>
      <c r="AI362" s="25">
        <v>45624</v>
      </c>
      <c r="AJ362" s="33"/>
      <c r="AK362" s="33"/>
      <c r="AL362" s="15" t="s">
        <v>594</v>
      </c>
      <c r="AM362" s="40" t="s">
        <v>595</v>
      </c>
      <c r="AN362" s="15" t="s">
        <v>1531</v>
      </c>
      <c r="AO362" s="14" t="s">
        <v>1983</v>
      </c>
      <c r="AP362" s="28">
        <v>92180</v>
      </c>
      <c r="AQ362" s="15" t="s">
        <v>598</v>
      </c>
    </row>
    <row r="363" spans="1:43" s="15" customFormat="1" ht="75">
      <c r="A363" s="30"/>
      <c r="B363" s="30">
        <v>11</v>
      </c>
      <c r="C363" s="30">
        <v>70503941</v>
      </c>
      <c r="D363" s="29" t="s">
        <v>1984</v>
      </c>
      <c r="E363" s="15" t="s">
        <v>1985</v>
      </c>
      <c r="F363">
        <v>70503941</v>
      </c>
      <c r="G363" t="s">
        <v>1985</v>
      </c>
      <c r="H363" t="s">
        <v>1986</v>
      </c>
      <c r="I363" t="s">
        <v>160</v>
      </c>
      <c r="J363" t="s">
        <v>114</v>
      </c>
      <c r="K363" t="s">
        <v>48</v>
      </c>
      <c r="L363">
        <v>0</v>
      </c>
      <c r="M363">
        <v>0</v>
      </c>
      <c r="N363">
        <v>-2</v>
      </c>
      <c r="O363" s="15" t="s">
        <v>105</v>
      </c>
      <c r="P363" t="s">
        <v>63</v>
      </c>
      <c r="Q363" s="15" t="s">
        <v>1987</v>
      </c>
      <c r="R363">
        <v>2024</v>
      </c>
      <c r="S363" t="s">
        <v>124</v>
      </c>
      <c r="T363" t="s">
        <v>284</v>
      </c>
      <c r="U363" s="25">
        <v>45597.467453703706</v>
      </c>
      <c r="V363" s="14" t="s">
        <v>1988</v>
      </c>
      <c r="W363"/>
      <c r="X363" t="s">
        <v>1252</v>
      </c>
      <c r="Y363"/>
      <c r="Z363" t="s">
        <v>807</v>
      </c>
      <c r="AA363">
        <v>3159</v>
      </c>
      <c r="AB363">
        <v>3155194891</v>
      </c>
      <c r="AC363" t="s">
        <v>1989</v>
      </c>
      <c r="AD363" s="47" t="s">
        <v>1899</v>
      </c>
      <c r="AE363" s="20" t="s">
        <v>1990</v>
      </c>
      <c r="AF363" s="20" t="s">
        <v>1991</v>
      </c>
      <c r="AG363" s="20" t="s">
        <v>1956</v>
      </c>
      <c r="AH363" s="20" t="s">
        <v>1787</v>
      </c>
      <c r="AI363" s="48">
        <v>45603</v>
      </c>
      <c r="AJ363" s="49"/>
      <c r="AK363" s="49"/>
      <c r="AL363" s="20" t="s">
        <v>594</v>
      </c>
      <c r="AM363" s="19" t="s">
        <v>607</v>
      </c>
      <c r="AN363" s="20" t="s">
        <v>328</v>
      </c>
      <c r="AO363" s="19"/>
      <c r="AP363" s="50"/>
      <c r="AQ363" s="20"/>
    </row>
    <row r="364" spans="1:43" s="15" customFormat="1" ht="75">
      <c r="A364" s="30"/>
      <c r="B364" s="30">
        <v>11</v>
      </c>
      <c r="C364" s="30">
        <v>800059832</v>
      </c>
      <c r="D364" s="29" t="s">
        <v>657</v>
      </c>
      <c r="E364" s="15" t="s">
        <v>658</v>
      </c>
      <c r="F364">
        <v>800059832</v>
      </c>
      <c r="G364" t="s">
        <v>658</v>
      </c>
      <c r="H364" t="s">
        <v>659</v>
      </c>
      <c r="I364" t="s">
        <v>211</v>
      </c>
      <c r="J364" t="s">
        <v>114</v>
      </c>
      <c r="K364" t="s">
        <v>105</v>
      </c>
      <c r="L364">
        <v>0</v>
      </c>
      <c r="M364">
        <v>0</v>
      </c>
      <c r="N364">
        <v>-2</v>
      </c>
      <c r="O364" s="15" t="s">
        <v>105</v>
      </c>
      <c r="P364" t="s">
        <v>63</v>
      </c>
      <c r="Q364" s="15" t="s">
        <v>1992</v>
      </c>
      <c r="R364">
        <v>2024</v>
      </c>
      <c r="S364" t="s">
        <v>124</v>
      </c>
      <c r="T364" t="s">
        <v>284</v>
      </c>
      <c r="U364" s="25">
        <v>45597.487546296295</v>
      </c>
      <c r="V364" s="14" t="s">
        <v>1993</v>
      </c>
      <c r="W364"/>
      <c r="X364" t="s">
        <v>1252</v>
      </c>
      <c r="Y364"/>
      <c r="Z364" t="s">
        <v>807</v>
      </c>
      <c r="AA364">
        <v>1318</v>
      </c>
      <c r="AB364">
        <v>4443390</v>
      </c>
      <c r="AC364" t="s">
        <v>663</v>
      </c>
      <c r="AD364" s="13" t="s">
        <v>1899</v>
      </c>
      <c r="AE364" s="15" t="s">
        <v>1994</v>
      </c>
      <c r="AF364" s="15" t="s">
        <v>1995</v>
      </c>
      <c r="AG364" s="15" t="s">
        <v>592</v>
      </c>
      <c r="AH364" s="15" t="s">
        <v>1787</v>
      </c>
      <c r="AI364" s="25">
        <v>45622</v>
      </c>
      <c r="AJ364" s="33"/>
      <c r="AK364" s="33"/>
      <c r="AL364" s="15" t="s">
        <v>594</v>
      </c>
      <c r="AM364" s="14" t="s">
        <v>607</v>
      </c>
      <c r="AN364" s="15" t="s">
        <v>1502</v>
      </c>
      <c r="AO364" s="14" t="s">
        <v>1996</v>
      </c>
      <c r="AP364" s="41">
        <v>2280000</v>
      </c>
      <c r="AQ364" s="15" t="s">
        <v>973</v>
      </c>
    </row>
    <row r="365" spans="1:43" s="15" customFormat="1" ht="45">
      <c r="A365" s="30"/>
      <c r="B365" s="30">
        <v>11</v>
      </c>
      <c r="C365" s="30">
        <v>71315681</v>
      </c>
      <c r="D365" s="29" t="s">
        <v>1971</v>
      </c>
      <c r="E365" s="15" t="s">
        <v>1971</v>
      </c>
      <c r="F365">
        <v>71315681</v>
      </c>
      <c r="G365" t="s">
        <v>1971</v>
      </c>
      <c r="H365" t="s">
        <v>1972</v>
      </c>
      <c r="I365" t="s">
        <v>211</v>
      </c>
      <c r="J365" t="s">
        <v>114</v>
      </c>
      <c r="K365" t="s">
        <v>105</v>
      </c>
      <c r="L365">
        <v>0</v>
      </c>
      <c r="M365">
        <v>0</v>
      </c>
      <c r="N365">
        <v>-2</v>
      </c>
      <c r="O365" s="15" t="s">
        <v>105</v>
      </c>
      <c r="P365" t="s">
        <v>63</v>
      </c>
      <c r="Q365" s="15" t="s">
        <v>1997</v>
      </c>
      <c r="R365">
        <v>2024</v>
      </c>
      <c r="S365" t="s">
        <v>124</v>
      </c>
      <c r="T365" t="s">
        <v>284</v>
      </c>
      <c r="U365" s="25">
        <v>45597.65284722222</v>
      </c>
      <c r="V365" s="14" t="s">
        <v>1998</v>
      </c>
      <c r="W365"/>
      <c r="X365" t="s">
        <v>1252</v>
      </c>
      <c r="Y365"/>
      <c r="Z365" t="s">
        <v>807</v>
      </c>
      <c r="AA365">
        <v>1098</v>
      </c>
      <c r="AB365">
        <v>5113807</v>
      </c>
      <c r="AC365" t="s">
        <v>1975</v>
      </c>
      <c r="AD365" s="13" t="s">
        <v>1899</v>
      </c>
      <c r="AE365" s="15" t="s">
        <v>1999</v>
      </c>
      <c r="AF365" s="15" t="s">
        <v>2000</v>
      </c>
      <c r="AG365" s="15" t="s">
        <v>592</v>
      </c>
      <c r="AH365" s="15" t="s">
        <v>1787</v>
      </c>
      <c r="AI365" s="25">
        <v>45623</v>
      </c>
      <c r="AJ365" s="33"/>
      <c r="AK365" s="33"/>
      <c r="AL365" s="15" t="s">
        <v>594</v>
      </c>
      <c r="AM365" s="14" t="s">
        <v>607</v>
      </c>
      <c r="AN365" s="15" t="s">
        <v>1502</v>
      </c>
      <c r="AO365" s="14" t="s">
        <v>2001</v>
      </c>
      <c r="AP365" s="41">
        <v>454176</v>
      </c>
      <c r="AQ365" s="15" t="s">
        <v>973</v>
      </c>
    </row>
    <row r="366" spans="1:43" ht="75" hidden="1">
      <c r="B366">
        <v>11</v>
      </c>
      <c r="C366">
        <v>3497299</v>
      </c>
      <c r="D366" t="s">
        <v>337</v>
      </c>
      <c r="E366" t="s">
        <v>338</v>
      </c>
      <c r="F366">
        <v>3497299</v>
      </c>
      <c r="G366" t="s">
        <v>338</v>
      </c>
      <c r="H366" t="s">
        <v>340</v>
      </c>
      <c r="I366" t="s">
        <v>264</v>
      </c>
      <c r="J366" t="s">
        <v>114</v>
      </c>
      <c r="K366" t="s">
        <v>48</v>
      </c>
      <c r="L366">
        <v>14</v>
      </c>
      <c r="M366">
        <v>10</v>
      </c>
      <c r="N366">
        <v>12</v>
      </c>
      <c r="O366" t="s">
        <v>48</v>
      </c>
      <c r="P366" t="s">
        <v>265</v>
      </c>
      <c r="Q366" t="s">
        <v>2002</v>
      </c>
      <c r="R366">
        <v>2024</v>
      </c>
      <c r="S366" t="s">
        <v>52</v>
      </c>
      <c r="T366" t="s">
        <v>661</v>
      </c>
      <c r="U366" s="10">
        <v>45597.708414351851</v>
      </c>
      <c r="V366" s="2" t="s">
        <v>2003</v>
      </c>
      <c r="X366" t="s">
        <v>55</v>
      </c>
      <c r="Y366" t="s">
        <v>56</v>
      </c>
      <c r="Z366" t="s">
        <v>807</v>
      </c>
      <c r="AA366">
        <v>650</v>
      </c>
      <c r="AB366">
        <v>7824466</v>
      </c>
      <c r="AC366" t="s">
        <v>343</v>
      </c>
      <c r="AD366">
        <v>2</v>
      </c>
      <c r="AJ366"/>
      <c r="AK366"/>
    </row>
    <row r="367" spans="1:43" ht="195">
      <c r="A367" s="30"/>
      <c r="B367" s="30">
        <v>11</v>
      </c>
      <c r="C367" s="30">
        <v>901255524</v>
      </c>
      <c r="D367" s="29" t="s">
        <v>1217</v>
      </c>
      <c r="E367" s="15" t="s">
        <v>1218</v>
      </c>
      <c r="F367">
        <v>901255524</v>
      </c>
      <c r="G367" t="s">
        <v>1218</v>
      </c>
      <c r="H367" t="s">
        <v>1219</v>
      </c>
      <c r="I367" t="s">
        <v>160</v>
      </c>
      <c r="J367" t="s">
        <v>114</v>
      </c>
      <c r="K367" t="s">
        <v>105</v>
      </c>
      <c r="L367">
        <v>10</v>
      </c>
      <c r="M367">
        <v>10</v>
      </c>
      <c r="N367">
        <v>8</v>
      </c>
      <c r="O367" s="15" t="s">
        <v>105</v>
      </c>
      <c r="P367" t="s">
        <v>63</v>
      </c>
      <c r="Q367" s="15" t="s">
        <v>2004</v>
      </c>
      <c r="R367">
        <v>2024</v>
      </c>
      <c r="S367" t="s">
        <v>124</v>
      </c>
      <c r="T367" t="s">
        <v>284</v>
      </c>
      <c r="U367" s="51">
        <v>45601.692974537036</v>
      </c>
      <c r="V367" s="38" t="s">
        <v>2005</v>
      </c>
      <c r="X367" t="s">
        <v>1252</v>
      </c>
      <c r="Z367" t="s">
        <v>807</v>
      </c>
      <c r="AA367">
        <v>2616</v>
      </c>
      <c r="AB367">
        <v>3610273</v>
      </c>
      <c r="AC367" t="s">
        <v>1222</v>
      </c>
      <c r="AD367" s="13" t="s">
        <v>1899</v>
      </c>
      <c r="AE367" t="s">
        <v>2006</v>
      </c>
      <c r="AF367" t="s">
        <v>2007</v>
      </c>
      <c r="AG367" t="s">
        <v>592</v>
      </c>
      <c r="AH367" t="s">
        <v>1787</v>
      </c>
      <c r="AI367" t="s">
        <v>2008</v>
      </c>
      <c r="AJ367"/>
      <c r="AK367"/>
      <c r="AL367" t="s">
        <v>1194</v>
      </c>
      <c r="AM367" s="14" t="s">
        <v>607</v>
      </c>
      <c r="AN367" t="s">
        <v>71</v>
      </c>
      <c r="AO367" s="2" t="s">
        <v>2009</v>
      </c>
      <c r="AP367" s="52">
        <v>2300000</v>
      </c>
      <c r="AQ367" s="15" t="s">
        <v>973</v>
      </c>
    </row>
    <row r="368" spans="1:43" ht="45" hidden="1">
      <c r="B368">
        <v>11</v>
      </c>
      <c r="C368">
        <v>891224259</v>
      </c>
      <c r="D368" t="s">
        <v>275</v>
      </c>
      <c r="E368" t="s">
        <v>275</v>
      </c>
      <c r="F368">
        <v>891224259</v>
      </c>
      <c r="G368" t="s">
        <v>275</v>
      </c>
      <c r="H368" t="s">
        <v>277</v>
      </c>
      <c r="I368" t="s">
        <v>84</v>
      </c>
      <c r="J368" t="s">
        <v>47</v>
      </c>
      <c r="K368" t="s">
        <v>48</v>
      </c>
      <c r="L368">
        <v>9</v>
      </c>
      <c r="M368">
        <v>9</v>
      </c>
      <c r="N368">
        <v>7</v>
      </c>
      <c r="O368" t="s">
        <v>48</v>
      </c>
      <c r="P368" t="s">
        <v>85</v>
      </c>
      <c r="Q368" t="s">
        <v>2010</v>
      </c>
      <c r="R368">
        <v>2024</v>
      </c>
      <c r="S368" t="s">
        <v>65</v>
      </c>
      <c r="T368" t="s">
        <v>334</v>
      </c>
      <c r="U368" s="10">
        <v>45602.373530092591</v>
      </c>
      <c r="V368" s="2" t="s">
        <v>2011</v>
      </c>
      <c r="X368" t="s">
        <v>55</v>
      </c>
      <c r="Y368" t="s">
        <v>56</v>
      </c>
      <c r="Z368" t="s">
        <v>807</v>
      </c>
      <c r="AA368">
        <v>1788</v>
      </c>
      <c r="AB368">
        <v>7215558</v>
      </c>
      <c r="AC368" t="s">
        <v>280</v>
      </c>
      <c r="AD368">
        <v>2</v>
      </c>
      <c r="AJ368"/>
      <c r="AK368"/>
    </row>
    <row r="369" spans="2:43" ht="45" hidden="1">
      <c r="B369">
        <v>11</v>
      </c>
      <c r="C369">
        <v>890933287</v>
      </c>
      <c r="D369" t="s">
        <v>2012</v>
      </c>
      <c r="E369" t="s">
        <v>2013</v>
      </c>
      <c r="F369">
        <v>890933287</v>
      </c>
      <c r="G369" t="s">
        <v>2013</v>
      </c>
      <c r="H369" t="s">
        <v>2014</v>
      </c>
      <c r="I369" t="s">
        <v>160</v>
      </c>
      <c r="J369" t="s">
        <v>47</v>
      </c>
      <c r="K369" t="s">
        <v>48</v>
      </c>
      <c r="L369">
        <v>9</v>
      </c>
      <c r="M369">
        <v>2</v>
      </c>
      <c r="N369">
        <v>7</v>
      </c>
      <c r="O369" t="s">
        <v>48</v>
      </c>
      <c r="P369" t="s">
        <v>63</v>
      </c>
      <c r="Q369" t="s">
        <v>2015</v>
      </c>
      <c r="R369">
        <v>2024</v>
      </c>
      <c r="S369" t="s">
        <v>65</v>
      </c>
      <c r="T369" t="s">
        <v>334</v>
      </c>
      <c r="U369" s="10">
        <v>45602.510312500002</v>
      </c>
      <c r="V369" s="2" t="s">
        <v>2016</v>
      </c>
      <c r="X369" t="s">
        <v>55</v>
      </c>
      <c r="Y369" t="s">
        <v>56</v>
      </c>
      <c r="Z369" t="s">
        <v>807</v>
      </c>
      <c r="AA369">
        <v>1769</v>
      </c>
      <c r="AB369">
        <v>4484697</v>
      </c>
      <c r="AC369" t="s">
        <v>2017</v>
      </c>
      <c r="AD369">
        <v>2</v>
      </c>
      <c r="AJ369"/>
      <c r="AK369"/>
    </row>
    <row r="370" spans="2:43" ht="60" hidden="1">
      <c r="B370">
        <v>11</v>
      </c>
      <c r="C370">
        <v>901349813</v>
      </c>
      <c r="D370" t="s">
        <v>1868</v>
      </c>
      <c r="E370" t="s">
        <v>1868</v>
      </c>
      <c r="F370">
        <v>901349813</v>
      </c>
      <c r="G370" t="s">
        <v>1868</v>
      </c>
      <c r="H370" t="s">
        <v>1869</v>
      </c>
      <c r="I370" t="s">
        <v>104</v>
      </c>
      <c r="J370" t="s">
        <v>47</v>
      </c>
      <c r="K370" t="s">
        <v>48</v>
      </c>
      <c r="L370">
        <v>9</v>
      </c>
      <c r="M370">
        <v>7</v>
      </c>
      <c r="N370">
        <v>7</v>
      </c>
      <c r="O370" t="s">
        <v>48</v>
      </c>
      <c r="P370" t="s">
        <v>106</v>
      </c>
      <c r="Q370" t="s">
        <v>2018</v>
      </c>
      <c r="R370">
        <v>2024</v>
      </c>
      <c r="S370" t="s">
        <v>65</v>
      </c>
      <c r="T370" t="s">
        <v>77</v>
      </c>
      <c r="U370" s="10">
        <v>45602.576261574075</v>
      </c>
      <c r="V370" s="2" t="s">
        <v>2019</v>
      </c>
      <c r="X370" t="s">
        <v>55</v>
      </c>
      <c r="Y370" t="s">
        <v>56</v>
      </c>
      <c r="Z370" t="s">
        <v>807</v>
      </c>
      <c r="AA370">
        <v>2696</v>
      </c>
      <c r="AB370">
        <v>3108612870</v>
      </c>
      <c r="AC370" t="s">
        <v>1872</v>
      </c>
      <c r="AD370">
        <v>2</v>
      </c>
      <c r="AJ370"/>
      <c r="AK370"/>
    </row>
    <row r="371" spans="2:43" ht="45" hidden="1">
      <c r="B371">
        <v>11</v>
      </c>
      <c r="C371">
        <v>1019038764</v>
      </c>
      <c r="D371" t="s">
        <v>2020</v>
      </c>
      <c r="E371" t="s">
        <v>2021</v>
      </c>
      <c r="F371">
        <v>1019038764</v>
      </c>
      <c r="G371" t="s">
        <v>2021</v>
      </c>
      <c r="H371" t="s">
        <v>2022</v>
      </c>
      <c r="I371" t="s">
        <v>219</v>
      </c>
      <c r="J371" t="s">
        <v>114</v>
      </c>
      <c r="K371" t="s">
        <v>48</v>
      </c>
      <c r="L371">
        <v>9</v>
      </c>
      <c r="M371">
        <v>7</v>
      </c>
      <c r="N371">
        <v>7</v>
      </c>
      <c r="O371" t="s">
        <v>49</v>
      </c>
      <c r="P371" t="s">
        <v>220</v>
      </c>
      <c r="Q371" t="s">
        <v>2023</v>
      </c>
      <c r="R371">
        <v>2024</v>
      </c>
      <c r="S371" t="s">
        <v>52</v>
      </c>
      <c r="T371" t="s">
        <v>116</v>
      </c>
      <c r="U371" s="10">
        <v>45602.579826388886</v>
      </c>
      <c r="V371" s="2" t="s">
        <v>2024</v>
      </c>
      <c r="X371" t="s">
        <v>55</v>
      </c>
      <c r="Y371" t="s">
        <v>56</v>
      </c>
      <c r="Z371" t="s">
        <v>807</v>
      </c>
      <c r="AA371">
        <v>3070</v>
      </c>
      <c r="AB371">
        <v>3156641028</v>
      </c>
      <c r="AC371" t="s">
        <v>2025</v>
      </c>
      <c r="AD371">
        <v>3</v>
      </c>
      <c r="AE371" t="s">
        <v>2026</v>
      </c>
      <c r="AF371" t="s">
        <v>2027</v>
      </c>
      <c r="AG371">
        <v>284926</v>
      </c>
      <c r="AJ371"/>
      <c r="AK371"/>
    </row>
    <row r="372" spans="2:43" ht="60" hidden="1">
      <c r="B372">
        <v>11</v>
      </c>
      <c r="C372">
        <v>900013340</v>
      </c>
      <c r="D372" t="s">
        <v>1779</v>
      </c>
      <c r="E372" t="s">
        <v>1779</v>
      </c>
      <c r="F372">
        <v>900013340</v>
      </c>
      <c r="G372" t="s">
        <v>1779</v>
      </c>
      <c r="H372" t="s">
        <v>1780</v>
      </c>
      <c r="I372" t="s">
        <v>61</v>
      </c>
      <c r="J372" t="s">
        <v>47</v>
      </c>
      <c r="K372" t="s">
        <v>48</v>
      </c>
      <c r="L372">
        <v>9</v>
      </c>
      <c r="M372">
        <v>7</v>
      </c>
      <c r="N372">
        <v>7</v>
      </c>
      <c r="O372" t="s">
        <v>49</v>
      </c>
      <c r="P372" t="s">
        <v>63</v>
      </c>
      <c r="Q372" t="s">
        <v>2028</v>
      </c>
      <c r="R372">
        <v>2024</v>
      </c>
      <c r="S372" t="s">
        <v>52</v>
      </c>
      <c r="T372" t="s">
        <v>53</v>
      </c>
      <c r="U372" s="10">
        <v>45602.686331018522</v>
      </c>
      <c r="V372" s="2" t="s">
        <v>2029</v>
      </c>
      <c r="X372" t="s">
        <v>55</v>
      </c>
      <c r="Y372" t="s">
        <v>56</v>
      </c>
      <c r="Z372" t="s">
        <v>807</v>
      </c>
      <c r="AA372">
        <v>1799</v>
      </c>
      <c r="AB372">
        <v>8393595</v>
      </c>
      <c r="AC372" t="s">
        <v>1783</v>
      </c>
      <c r="AD372">
        <v>3</v>
      </c>
      <c r="AJ372"/>
      <c r="AK372"/>
    </row>
    <row r="373" spans="2:43" ht="60" hidden="1">
      <c r="B373">
        <v>11</v>
      </c>
      <c r="C373">
        <v>901222151</v>
      </c>
      <c r="D373" t="s">
        <v>1371</v>
      </c>
      <c r="E373" t="s">
        <v>1372</v>
      </c>
      <c r="F373">
        <v>901222151</v>
      </c>
      <c r="G373" t="s">
        <v>1372</v>
      </c>
      <c r="H373" t="s">
        <v>1373</v>
      </c>
      <c r="I373" t="s">
        <v>601</v>
      </c>
      <c r="J373" t="s">
        <v>47</v>
      </c>
      <c r="K373" t="s">
        <v>48</v>
      </c>
      <c r="L373">
        <v>8</v>
      </c>
      <c r="M373">
        <v>2</v>
      </c>
      <c r="N373">
        <v>6</v>
      </c>
      <c r="O373" t="s">
        <v>48</v>
      </c>
      <c r="P373" t="s">
        <v>63</v>
      </c>
      <c r="Q373" t="s">
        <v>2030</v>
      </c>
      <c r="R373">
        <v>2024</v>
      </c>
      <c r="S373" t="s">
        <v>65</v>
      </c>
      <c r="T373" t="s">
        <v>293</v>
      </c>
      <c r="U373" s="10">
        <v>45603.406481481485</v>
      </c>
      <c r="V373" s="2" t="s">
        <v>2031</v>
      </c>
      <c r="X373" t="s">
        <v>55</v>
      </c>
      <c r="Y373" t="s">
        <v>56</v>
      </c>
      <c r="Z373" t="s">
        <v>807</v>
      </c>
      <c r="AA373">
        <v>2577</v>
      </c>
      <c r="AB373">
        <v>3218024585</v>
      </c>
      <c r="AC373" t="s">
        <v>1376</v>
      </c>
      <c r="AD373">
        <v>2</v>
      </c>
      <c r="AJ373"/>
      <c r="AK373"/>
    </row>
    <row r="374" spans="2:43" s="15" customFormat="1" ht="60">
      <c r="B374" s="15">
        <v>11</v>
      </c>
      <c r="C374" s="15">
        <v>900203914</v>
      </c>
      <c r="D374" s="29" t="s">
        <v>430</v>
      </c>
      <c r="E374" s="15" t="s">
        <v>431</v>
      </c>
      <c r="F374">
        <v>900203914</v>
      </c>
      <c r="G374" t="s">
        <v>431</v>
      </c>
      <c r="H374" t="s">
        <v>432</v>
      </c>
      <c r="I374" t="s">
        <v>96</v>
      </c>
      <c r="J374" t="s">
        <v>114</v>
      </c>
      <c r="K374" t="s">
        <v>105</v>
      </c>
      <c r="L374">
        <v>7</v>
      </c>
      <c r="M374">
        <v>1</v>
      </c>
      <c r="N374">
        <v>5</v>
      </c>
      <c r="O374" s="15" t="s">
        <v>62</v>
      </c>
      <c r="P374" t="s">
        <v>97</v>
      </c>
      <c r="Q374" s="15" t="s">
        <v>2032</v>
      </c>
      <c r="R374">
        <v>2024</v>
      </c>
      <c r="S374" t="s">
        <v>124</v>
      </c>
      <c r="T374" t="s">
        <v>284</v>
      </c>
      <c r="U374" s="34">
        <v>45604.470590277779</v>
      </c>
      <c r="V374" s="14" t="s">
        <v>2033</v>
      </c>
      <c r="W374"/>
      <c r="X374" t="s">
        <v>1252</v>
      </c>
      <c r="Y374"/>
      <c r="Z374" t="s">
        <v>807</v>
      </c>
      <c r="AA374">
        <v>1868</v>
      </c>
      <c r="AB374">
        <v>8833200</v>
      </c>
      <c r="AC374" t="s">
        <v>435</v>
      </c>
      <c r="AD374" s="13" t="s">
        <v>70</v>
      </c>
      <c r="AE374" s="15" t="s">
        <v>2034</v>
      </c>
      <c r="AF374" s="15" t="s">
        <v>2035</v>
      </c>
      <c r="AG374" s="15" t="s">
        <v>592</v>
      </c>
      <c r="AH374" s="15" t="s">
        <v>1787</v>
      </c>
      <c r="AI374" s="25">
        <v>45635</v>
      </c>
      <c r="AL374" s="15" t="s">
        <v>1194</v>
      </c>
      <c r="AM374" s="14" t="s">
        <v>607</v>
      </c>
      <c r="AN374" s="13" t="s">
        <v>2036</v>
      </c>
      <c r="AO374" s="14"/>
      <c r="AP374" s="28">
        <v>23441600</v>
      </c>
      <c r="AQ374" s="15" t="s">
        <v>973</v>
      </c>
    </row>
    <row r="375" spans="2:43" ht="45" hidden="1">
      <c r="B375">
        <v>11</v>
      </c>
      <c r="C375">
        <v>901497121</v>
      </c>
      <c r="D375" t="s">
        <v>2037</v>
      </c>
      <c r="E375" t="s">
        <v>2037</v>
      </c>
      <c r="F375">
        <v>901497121</v>
      </c>
      <c r="G375" t="s">
        <v>2037</v>
      </c>
      <c r="H375" t="s">
        <v>2038</v>
      </c>
      <c r="I375" t="s">
        <v>2039</v>
      </c>
      <c r="J375" t="s">
        <v>114</v>
      </c>
      <c r="K375" t="s">
        <v>48</v>
      </c>
      <c r="L375">
        <v>7</v>
      </c>
      <c r="M375">
        <v>7</v>
      </c>
      <c r="N375">
        <v>5</v>
      </c>
      <c r="O375" t="s">
        <v>49</v>
      </c>
      <c r="P375" t="s">
        <v>63</v>
      </c>
      <c r="Q375" t="s">
        <v>2040</v>
      </c>
      <c r="R375">
        <v>2024</v>
      </c>
      <c r="S375" t="s">
        <v>190</v>
      </c>
      <c r="T375" t="s">
        <v>1366</v>
      </c>
      <c r="U375" s="10">
        <v>45604.492789351854</v>
      </c>
      <c r="V375" s="2" t="s">
        <v>2041</v>
      </c>
      <c r="X375" t="s">
        <v>55</v>
      </c>
      <c r="Y375" t="s">
        <v>56</v>
      </c>
      <c r="Z375" t="s">
        <v>807</v>
      </c>
      <c r="AA375">
        <v>2819</v>
      </c>
      <c r="AB375">
        <v>8590067</v>
      </c>
      <c r="AC375" t="s">
        <v>2042</v>
      </c>
      <c r="AD375">
        <v>3</v>
      </c>
      <c r="AJ375"/>
      <c r="AK375"/>
    </row>
    <row r="376" spans="2:43" ht="30" hidden="1">
      <c r="B376">
        <v>11</v>
      </c>
      <c r="C376">
        <v>800255589</v>
      </c>
      <c r="D376" t="s">
        <v>493</v>
      </c>
      <c r="E376" t="s">
        <v>493</v>
      </c>
      <c r="F376">
        <v>800255589</v>
      </c>
      <c r="G376" t="s">
        <v>493</v>
      </c>
      <c r="H376" t="s">
        <v>494</v>
      </c>
      <c r="I376" t="s">
        <v>197</v>
      </c>
      <c r="J376" t="s">
        <v>47</v>
      </c>
      <c r="K376" t="s">
        <v>48</v>
      </c>
      <c r="L376">
        <v>7</v>
      </c>
      <c r="M376">
        <v>7</v>
      </c>
      <c r="N376">
        <v>5</v>
      </c>
      <c r="O376" t="s">
        <v>48</v>
      </c>
      <c r="P376" t="s">
        <v>198</v>
      </c>
      <c r="Q376" t="s">
        <v>2043</v>
      </c>
      <c r="R376">
        <v>2024</v>
      </c>
      <c r="S376" t="s">
        <v>190</v>
      </c>
      <c r="T376" t="s">
        <v>191</v>
      </c>
      <c r="U376" s="10">
        <v>45604.511018518519</v>
      </c>
      <c r="V376" s="2" t="s">
        <v>2044</v>
      </c>
      <c r="X376" t="s">
        <v>55</v>
      </c>
      <c r="Y376" t="s">
        <v>56</v>
      </c>
      <c r="Z376" t="s">
        <v>807</v>
      </c>
      <c r="AA376">
        <v>1389</v>
      </c>
      <c r="AB376">
        <v>4216883</v>
      </c>
      <c r="AC376" t="s">
        <v>497</v>
      </c>
      <c r="AD376">
        <v>2</v>
      </c>
      <c r="AJ376"/>
      <c r="AK376"/>
    </row>
    <row r="377" spans="2:43" ht="45">
      <c r="B377">
        <v>11</v>
      </c>
      <c r="C377">
        <v>70160738</v>
      </c>
      <c r="D377" s="44" t="s">
        <v>618</v>
      </c>
      <c r="E377" t="s">
        <v>619</v>
      </c>
      <c r="F377">
        <v>70160738</v>
      </c>
      <c r="G377" t="s">
        <v>619</v>
      </c>
      <c r="H377" t="s">
        <v>620</v>
      </c>
      <c r="I377" t="s">
        <v>264</v>
      </c>
      <c r="J377" t="s">
        <v>114</v>
      </c>
      <c r="K377" t="s">
        <v>436</v>
      </c>
      <c r="L377">
        <v>3</v>
      </c>
      <c r="M377">
        <v>3</v>
      </c>
      <c r="N377">
        <v>1</v>
      </c>
      <c r="O377" t="s">
        <v>436</v>
      </c>
      <c r="P377" t="s">
        <v>265</v>
      </c>
      <c r="Q377" t="s">
        <v>2045</v>
      </c>
      <c r="R377">
        <v>2024</v>
      </c>
      <c r="S377" t="s">
        <v>124</v>
      </c>
      <c r="T377" t="s">
        <v>313</v>
      </c>
      <c r="U377" s="10">
        <v>45608.671724537038</v>
      </c>
      <c r="V377" s="2" t="s">
        <v>2046</v>
      </c>
      <c r="X377" t="s">
        <v>1252</v>
      </c>
      <c r="Z377" t="s">
        <v>807</v>
      </c>
      <c r="AA377">
        <v>980</v>
      </c>
      <c r="AB377">
        <v>3205672759</v>
      </c>
      <c r="AC377" t="s">
        <v>623</v>
      </c>
      <c r="AD377" s="53" t="s">
        <v>439</v>
      </c>
      <c r="AE377" t="s">
        <v>2047</v>
      </c>
      <c r="AF377" t="s">
        <v>2048</v>
      </c>
      <c r="AG377" t="s">
        <v>592</v>
      </c>
      <c r="AH377" t="s">
        <v>55</v>
      </c>
      <c r="AI377" s="8">
        <v>45614</v>
      </c>
      <c r="AJ377"/>
      <c r="AK377"/>
      <c r="AL377" t="s">
        <v>594</v>
      </c>
      <c r="AM377" t="s">
        <v>595</v>
      </c>
      <c r="AN377" s="30" t="s">
        <v>656</v>
      </c>
      <c r="AO377" s="2" t="s">
        <v>2049</v>
      </c>
      <c r="AP377" s="52">
        <v>528165</v>
      </c>
      <c r="AQ377" s="15" t="s">
        <v>973</v>
      </c>
    </row>
    <row r="378" spans="2:43" ht="45" hidden="1">
      <c r="B378">
        <v>11</v>
      </c>
      <c r="C378">
        <v>800189331</v>
      </c>
      <c r="D378" t="s">
        <v>2050</v>
      </c>
      <c r="E378" t="s">
        <v>2050</v>
      </c>
      <c r="F378">
        <v>800189331</v>
      </c>
      <c r="G378" t="s">
        <v>2050</v>
      </c>
      <c r="H378" t="s">
        <v>2051</v>
      </c>
      <c r="I378" t="s">
        <v>2052</v>
      </c>
      <c r="J378" t="s">
        <v>47</v>
      </c>
      <c r="K378" t="s">
        <v>49</v>
      </c>
      <c r="L378">
        <v>2</v>
      </c>
      <c r="M378">
        <v>2</v>
      </c>
      <c r="N378">
        <v>0</v>
      </c>
      <c r="O378" t="s">
        <v>49</v>
      </c>
      <c r="P378" t="s">
        <v>97</v>
      </c>
      <c r="Q378" t="s">
        <v>2053</v>
      </c>
      <c r="R378">
        <v>2024</v>
      </c>
      <c r="S378" t="s">
        <v>65</v>
      </c>
      <c r="T378" t="s">
        <v>125</v>
      </c>
      <c r="U378" s="10">
        <v>45609.700694444444</v>
      </c>
      <c r="V378" s="2" t="s">
        <v>2054</v>
      </c>
      <c r="X378" t="s">
        <v>1252</v>
      </c>
      <c r="Z378" t="s">
        <v>807</v>
      </c>
      <c r="AA378">
        <v>1358</v>
      </c>
      <c r="AB378">
        <v>2433123</v>
      </c>
      <c r="AC378" t="s">
        <v>2055</v>
      </c>
      <c r="AD378">
        <v>3</v>
      </c>
      <c r="AE378" t="s">
        <v>2026</v>
      </c>
      <c r="AF378" t="s">
        <v>319</v>
      </c>
      <c r="AJ378"/>
      <c r="AK378"/>
    </row>
    <row r="379" spans="2:43" ht="60" hidden="1">
      <c r="B379">
        <v>11</v>
      </c>
      <c r="C379">
        <v>900387488</v>
      </c>
      <c r="D379" t="s">
        <v>2056</v>
      </c>
      <c r="E379" t="s">
        <v>2056</v>
      </c>
      <c r="F379">
        <v>900387488</v>
      </c>
      <c r="G379" t="s">
        <v>2056</v>
      </c>
      <c r="H379" t="s">
        <v>2057</v>
      </c>
      <c r="I379" t="s">
        <v>348</v>
      </c>
      <c r="J379" t="s">
        <v>47</v>
      </c>
      <c r="K379" t="s">
        <v>49</v>
      </c>
      <c r="L379">
        <v>1</v>
      </c>
      <c r="M379">
        <v>1</v>
      </c>
      <c r="N379">
        <v>-1</v>
      </c>
      <c r="O379" t="s">
        <v>49</v>
      </c>
      <c r="P379" t="s">
        <v>349</v>
      </c>
      <c r="Q379" t="s">
        <v>2058</v>
      </c>
      <c r="R379">
        <v>2024</v>
      </c>
      <c r="S379" t="s">
        <v>65</v>
      </c>
      <c r="T379" t="s">
        <v>125</v>
      </c>
      <c r="U379" s="10">
        <v>45610.721446759257</v>
      </c>
      <c r="V379" s="2" t="s">
        <v>2059</v>
      </c>
      <c r="X379" t="s">
        <v>1252</v>
      </c>
      <c r="Z379" t="s">
        <v>807</v>
      </c>
      <c r="AA379">
        <v>1973</v>
      </c>
      <c r="AB379">
        <v>6721320</v>
      </c>
      <c r="AC379" t="s">
        <v>2060</v>
      </c>
      <c r="AD379">
        <v>3</v>
      </c>
      <c r="AE379" t="s">
        <v>2026</v>
      </c>
      <c r="AF379" t="s">
        <v>2061</v>
      </c>
      <c r="AJ379"/>
      <c r="AK379"/>
    </row>
    <row r="380" spans="2:43" ht="60" hidden="1">
      <c r="B380">
        <v>11</v>
      </c>
      <c r="C380">
        <v>891201261</v>
      </c>
      <c r="D380" t="s">
        <v>2062</v>
      </c>
      <c r="E380" t="s">
        <v>2063</v>
      </c>
      <c r="F380">
        <v>891201261</v>
      </c>
      <c r="G380" t="s">
        <v>2063</v>
      </c>
      <c r="H380" t="s">
        <v>2064</v>
      </c>
      <c r="I380" t="s">
        <v>84</v>
      </c>
      <c r="J380" t="s">
        <v>114</v>
      </c>
      <c r="K380" t="s">
        <v>49</v>
      </c>
      <c r="L380">
        <v>1</v>
      </c>
      <c r="M380">
        <v>1</v>
      </c>
      <c r="N380">
        <v>-1</v>
      </c>
      <c r="O380" t="s">
        <v>49</v>
      </c>
      <c r="P380" t="s">
        <v>85</v>
      </c>
      <c r="Q380" t="s">
        <v>2065</v>
      </c>
      <c r="R380">
        <v>2024</v>
      </c>
      <c r="S380" t="s">
        <v>52</v>
      </c>
      <c r="T380" t="s">
        <v>116</v>
      </c>
      <c r="U380" s="10">
        <v>45610.728495370371</v>
      </c>
      <c r="V380" s="2" t="s">
        <v>2066</v>
      </c>
      <c r="X380" t="s">
        <v>1252</v>
      </c>
      <c r="Z380" t="s">
        <v>807</v>
      </c>
      <c r="AA380">
        <v>1787</v>
      </c>
      <c r="AB380">
        <v>7244407</v>
      </c>
      <c r="AC380" t="s">
        <v>2067</v>
      </c>
      <c r="AD380">
        <v>3</v>
      </c>
      <c r="AE380" t="s">
        <v>2026</v>
      </c>
      <c r="AF380" t="s">
        <v>82</v>
      </c>
      <c r="AJ380"/>
      <c r="AK380"/>
    </row>
    <row r="381" spans="2:43" ht="45" hidden="1">
      <c r="B381">
        <v>11</v>
      </c>
      <c r="C381">
        <v>891201261</v>
      </c>
      <c r="D381" t="s">
        <v>2062</v>
      </c>
      <c r="E381" t="s">
        <v>2063</v>
      </c>
      <c r="F381">
        <v>891201261</v>
      </c>
      <c r="G381" t="s">
        <v>2063</v>
      </c>
      <c r="H381" t="s">
        <v>2064</v>
      </c>
      <c r="I381" t="s">
        <v>84</v>
      </c>
      <c r="J381" t="s">
        <v>47</v>
      </c>
      <c r="K381" t="s">
        <v>49</v>
      </c>
      <c r="L381">
        <v>1</v>
      </c>
      <c r="M381">
        <v>1</v>
      </c>
      <c r="N381">
        <v>-1</v>
      </c>
      <c r="O381" t="s">
        <v>49</v>
      </c>
      <c r="P381" t="s">
        <v>85</v>
      </c>
      <c r="Q381" t="s">
        <v>2068</v>
      </c>
      <c r="R381">
        <v>2024</v>
      </c>
      <c r="S381" t="s">
        <v>52</v>
      </c>
      <c r="T381" t="s">
        <v>53</v>
      </c>
      <c r="U381" s="10">
        <v>45610.731921296298</v>
      </c>
      <c r="V381" s="2" t="s">
        <v>2069</v>
      </c>
      <c r="X381" t="s">
        <v>1252</v>
      </c>
      <c r="Z381" t="s">
        <v>807</v>
      </c>
      <c r="AA381">
        <v>1787</v>
      </c>
      <c r="AB381">
        <v>7244407</v>
      </c>
      <c r="AC381" t="s">
        <v>2067</v>
      </c>
      <c r="AD381">
        <v>3</v>
      </c>
      <c r="AJ381"/>
      <c r="AK381"/>
    </row>
    <row r="382" spans="2:43" ht="75" hidden="1">
      <c r="B382">
        <v>11</v>
      </c>
      <c r="C382">
        <v>901102259</v>
      </c>
      <c r="D382" t="s">
        <v>2070</v>
      </c>
      <c r="E382" t="s">
        <v>2070</v>
      </c>
      <c r="F382">
        <v>901102259</v>
      </c>
      <c r="G382" t="s">
        <v>2070</v>
      </c>
      <c r="H382" t="s">
        <v>2071</v>
      </c>
      <c r="I382" t="s">
        <v>235</v>
      </c>
      <c r="J382" t="s">
        <v>47</v>
      </c>
      <c r="K382" t="s">
        <v>49</v>
      </c>
      <c r="L382">
        <v>11</v>
      </c>
      <c r="M382">
        <v>11</v>
      </c>
      <c r="N382">
        <v>9</v>
      </c>
      <c r="O382" t="s">
        <v>49</v>
      </c>
      <c r="P382" t="s">
        <v>236</v>
      </c>
      <c r="Q382" t="s">
        <v>2072</v>
      </c>
      <c r="R382">
        <v>2024</v>
      </c>
      <c r="S382" t="s">
        <v>124</v>
      </c>
      <c r="T382" t="s">
        <v>125</v>
      </c>
      <c r="U382" s="8">
        <v>45611.590196759258</v>
      </c>
      <c r="V382" s="2" t="s">
        <v>2073</v>
      </c>
      <c r="X382" t="s">
        <v>1252</v>
      </c>
      <c r="Z382" t="s">
        <v>807</v>
      </c>
      <c r="AA382">
        <v>2474</v>
      </c>
      <c r="AB382">
        <v>5161392</v>
      </c>
      <c r="AC382" t="s">
        <v>2074</v>
      </c>
      <c r="AD382" s="2">
        <v>3</v>
      </c>
      <c r="AF382" t="s">
        <v>2075</v>
      </c>
      <c r="AG382">
        <v>285621</v>
      </c>
    </row>
    <row r="383" spans="2:43" ht="90" hidden="1">
      <c r="B383">
        <v>11</v>
      </c>
      <c r="C383">
        <v>28683680</v>
      </c>
      <c r="D383" t="s">
        <v>2076</v>
      </c>
      <c r="E383" t="s">
        <v>2077</v>
      </c>
      <c r="F383">
        <v>28683680</v>
      </c>
      <c r="G383" t="s">
        <v>2077</v>
      </c>
      <c r="H383" t="s">
        <v>2078</v>
      </c>
      <c r="I383" t="s">
        <v>693</v>
      </c>
      <c r="J383" t="s">
        <v>47</v>
      </c>
      <c r="K383" t="s">
        <v>49</v>
      </c>
      <c r="L383">
        <v>11</v>
      </c>
      <c r="M383">
        <v>11</v>
      </c>
      <c r="N383">
        <v>9</v>
      </c>
      <c r="O383" t="s">
        <v>49</v>
      </c>
      <c r="P383" t="s">
        <v>236</v>
      </c>
      <c r="Q383" t="s">
        <v>2079</v>
      </c>
      <c r="R383">
        <v>2024</v>
      </c>
      <c r="S383" t="s">
        <v>124</v>
      </c>
      <c r="T383" t="s">
        <v>230</v>
      </c>
      <c r="U383" s="8">
        <v>45611.618703703702</v>
      </c>
      <c r="V383" s="2" t="s">
        <v>2080</v>
      </c>
      <c r="X383" t="s">
        <v>1252</v>
      </c>
      <c r="Z383" t="s">
        <v>807</v>
      </c>
      <c r="AA383">
        <v>574</v>
      </c>
      <c r="AB383">
        <v>3103169014</v>
      </c>
      <c r="AC383" t="s">
        <v>2081</v>
      </c>
      <c r="AD383" s="2">
        <v>3</v>
      </c>
    </row>
    <row r="384" spans="2:43" ht="60" hidden="1">
      <c r="B384">
        <v>11</v>
      </c>
      <c r="C384">
        <v>814001969</v>
      </c>
      <c r="D384" t="s">
        <v>1701</v>
      </c>
      <c r="E384" t="s">
        <v>1701</v>
      </c>
      <c r="F384">
        <v>814001969</v>
      </c>
      <c r="G384" t="s">
        <v>1701</v>
      </c>
      <c r="H384" t="s">
        <v>1702</v>
      </c>
      <c r="I384" t="s">
        <v>84</v>
      </c>
      <c r="J384" t="s">
        <v>47</v>
      </c>
      <c r="K384" t="s">
        <v>48</v>
      </c>
      <c r="L384">
        <v>7</v>
      </c>
      <c r="M384">
        <v>4</v>
      </c>
      <c r="N384">
        <v>5</v>
      </c>
      <c r="O384" t="s">
        <v>49</v>
      </c>
      <c r="P384" t="s">
        <v>85</v>
      </c>
      <c r="Q384" t="s">
        <v>2082</v>
      </c>
      <c r="R384">
        <v>2024</v>
      </c>
      <c r="S384" t="s">
        <v>52</v>
      </c>
      <c r="T384" t="s">
        <v>53</v>
      </c>
      <c r="U384" s="8">
        <v>45615.60837962963</v>
      </c>
      <c r="V384" s="2" t="s">
        <v>2083</v>
      </c>
      <c r="X384" t="s">
        <v>55</v>
      </c>
      <c r="Y384" t="s">
        <v>56</v>
      </c>
      <c r="Z384" t="s">
        <v>807</v>
      </c>
      <c r="AA384">
        <v>1529</v>
      </c>
      <c r="AB384">
        <v>7216668</v>
      </c>
      <c r="AC384" t="s">
        <v>1705</v>
      </c>
      <c r="AD384" s="2">
        <v>3</v>
      </c>
    </row>
    <row r="385" spans="2:43" ht="60" hidden="1">
      <c r="B385">
        <v>11</v>
      </c>
      <c r="C385">
        <v>1077425531</v>
      </c>
      <c r="D385" t="s">
        <v>452</v>
      </c>
      <c r="E385" t="s">
        <v>453</v>
      </c>
      <c r="F385">
        <v>1077425531</v>
      </c>
      <c r="G385" t="s">
        <v>453</v>
      </c>
      <c r="H385" t="s">
        <v>454</v>
      </c>
      <c r="I385" t="s">
        <v>455</v>
      </c>
      <c r="J385" t="s">
        <v>114</v>
      </c>
      <c r="K385" t="s">
        <v>49</v>
      </c>
      <c r="L385">
        <v>7</v>
      </c>
      <c r="M385">
        <v>7</v>
      </c>
      <c r="N385">
        <v>5</v>
      </c>
      <c r="O385" t="s">
        <v>49</v>
      </c>
      <c r="P385" t="s">
        <v>456</v>
      </c>
      <c r="Q385" t="s">
        <v>2084</v>
      </c>
      <c r="R385">
        <v>2024</v>
      </c>
      <c r="S385" t="s">
        <v>52</v>
      </c>
      <c r="T385" t="s">
        <v>116</v>
      </c>
      <c r="U385" s="8">
        <v>45615.683368055557</v>
      </c>
      <c r="V385" s="2" t="s">
        <v>2085</v>
      </c>
      <c r="X385" t="s">
        <v>1252</v>
      </c>
      <c r="Z385" t="s">
        <v>807</v>
      </c>
      <c r="AA385">
        <v>3047</v>
      </c>
      <c r="AB385">
        <v>3133255914</v>
      </c>
      <c r="AC385" t="s">
        <v>459</v>
      </c>
      <c r="AD385" s="2">
        <v>3</v>
      </c>
      <c r="AF385" t="s">
        <v>2061</v>
      </c>
    </row>
    <row r="386" spans="2:43" ht="60">
      <c r="B386">
        <v>11</v>
      </c>
      <c r="C386">
        <v>890937010</v>
      </c>
      <c r="D386" s="44" t="s">
        <v>208</v>
      </c>
      <c r="E386" t="s">
        <v>208</v>
      </c>
      <c r="F386">
        <v>890937010</v>
      </c>
      <c r="G386" t="s">
        <v>208</v>
      </c>
      <c r="H386" t="s">
        <v>210</v>
      </c>
      <c r="I386" t="s">
        <v>211</v>
      </c>
      <c r="J386" t="s">
        <v>47</v>
      </c>
      <c r="K386" t="s">
        <v>48</v>
      </c>
      <c r="L386">
        <v>6</v>
      </c>
      <c r="M386">
        <v>5</v>
      </c>
      <c r="N386">
        <v>4</v>
      </c>
      <c r="O386" t="s">
        <v>436</v>
      </c>
      <c r="P386" t="s">
        <v>63</v>
      </c>
      <c r="Q386" t="s">
        <v>2086</v>
      </c>
      <c r="R386">
        <v>2024</v>
      </c>
      <c r="S386" t="s">
        <v>65</v>
      </c>
      <c r="T386" t="s">
        <v>2087</v>
      </c>
      <c r="U386" s="8">
        <v>45616.426203703704</v>
      </c>
      <c r="V386" s="2" t="s">
        <v>2088</v>
      </c>
      <c r="X386" t="s">
        <v>1354</v>
      </c>
      <c r="Z386" t="s">
        <v>807</v>
      </c>
      <c r="AA386">
        <v>1775</v>
      </c>
      <c r="AB386">
        <v>4442388</v>
      </c>
      <c r="AC386" t="s">
        <v>214</v>
      </c>
      <c r="AD386" s="13" t="s">
        <v>439</v>
      </c>
      <c r="AE386" t="s">
        <v>2089</v>
      </c>
      <c r="AF386" t="s">
        <v>2090</v>
      </c>
      <c r="AG386" t="s">
        <v>592</v>
      </c>
      <c r="AI386" s="8">
        <v>45636</v>
      </c>
      <c r="AL386" t="s">
        <v>594</v>
      </c>
      <c r="AM386" t="s">
        <v>595</v>
      </c>
      <c r="AN386" t="s">
        <v>1531</v>
      </c>
      <c r="AP386" s="36">
        <v>169694</v>
      </c>
      <c r="AQ386" t="s">
        <v>1459</v>
      </c>
    </row>
    <row r="387" spans="2:43" ht="75" hidden="1">
      <c r="B387">
        <v>11</v>
      </c>
      <c r="C387">
        <v>92501942</v>
      </c>
      <c r="D387" t="s">
        <v>2091</v>
      </c>
      <c r="E387" t="s">
        <v>2092</v>
      </c>
      <c r="F387">
        <v>92501942</v>
      </c>
      <c r="G387" t="s">
        <v>2092</v>
      </c>
      <c r="H387" t="s">
        <v>2093</v>
      </c>
      <c r="I387" t="s">
        <v>2094</v>
      </c>
      <c r="J387" t="s">
        <v>47</v>
      </c>
      <c r="K387" t="s">
        <v>49</v>
      </c>
      <c r="L387">
        <v>6</v>
      </c>
      <c r="M387">
        <v>6</v>
      </c>
      <c r="N387">
        <v>4</v>
      </c>
      <c r="O387" t="s">
        <v>48</v>
      </c>
      <c r="P387" t="s">
        <v>265</v>
      </c>
      <c r="Q387" t="s">
        <v>2095</v>
      </c>
      <c r="R387">
        <v>2024</v>
      </c>
      <c r="S387" t="s">
        <v>65</v>
      </c>
      <c r="T387" t="s">
        <v>334</v>
      </c>
      <c r="U387" s="8">
        <v>45616.693472222221</v>
      </c>
      <c r="V387" s="2" t="s">
        <v>2096</v>
      </c>
      <c r="X387" t="s">
        <v>1252</v>
      </c>
      <c r="Z387" t="s">
        <v>807</v>
      </c>
      <c r="AA387">
        <v>2933</v>
      </c>
      <c r="AB387">
        <v>7778070</v>
      </c>
      <c r="AC387" t="s">
        <v>2097</v>
      </c>
      <c r="AD387" s="2">
        <v>2</v>
      </c>
    </row>
    <row r="388" spans="2:43" ht="45" hidden="1">
      <c r="B388">
        <v>11</v>
      </c>
      <c r="C388">
        <v>901112849</v>
      </c>
      <c r="D388" t="s">
        <v>2098</v>
      </c>
      <c r="E388" t="s">
        <v>2098</v>
      </c>
      <c r="F388">
        <v>901112849</v>
      </c>
      <c r="G388" t="s">
        <v>2098</v>
      </c>
      <c r="H388" t="s">
        <v>2099</v>
      </c>
      <c r="I388" t="s">
        <v>1169</v>
      </c>
      <c r="J388" t="s">
        <v>114</v>
      </c>
      <c r="K388" t="s">
        <v>49</v>
      </c>
      <c r="L388">
        <v>6</v>
      </c>
      <c r="M388">
        <v>6</v>
      </c>
      <c r="N388">
        <v>4</v>
      </c>
      <c r="O388" t="s">
        <v>49</v>
      </c>
      <c r="P388" t="s">
        <v>85</v>
      </c>
      <c r="Q388" t="s">
        <v>2100</v>
      </c>
      <c r="R388">
        <v>2024</v>
      </c>
      <c r="S388" t="s">
        <v>52</v>
      </c>
      <c r="T388" t="s">
        <v>116</v>
      </c>
      <c r="U388" s="8">
        <v>45616.708483796298</v>
      </c>
      <c r="V388" s="2" t="s">
        <v>2101</v>
      </c>
      <c r="X388" t="s">
        <v>1252</v>
      </c>
      <c r="Z388" t="s">
        <v>807</v>
      </c>
      <c r="AA388">
        <v>2487</v>
      </c>
      <c r="AB388">
        <v>7734312</v>
      </c>
      <c r="AC388" t="s">
        <v>2102</v>
      </c>
      <c r="AD388" s="2">
        <v>3</v>
      </c>
      <c r="AE388" t="s">
        <v>2026</v>
      </c>
      <c r="AF388" t="s">
        <v>82</v>
      </c>
      <c r="AG388">
        <v>285067</v>
      </c>
    </row>
    <row r="389" spans="2:43" ht="60" hidden="1">
      <c r="B389">
        <v>11</v>
      </c>
      <c r="C389">
        <v>5407360</v>
      </c>
      <c r="D389" t="s">
        <v>2103</v>
      </c>
      <c r="E389" t="s">
        <v>2104</v>
      </c>
      <c r="F389">
        <v>5407360</v>
      </c>
      <c r="G389" t="s">
        <v>2105</v>
      </c>
      <c r="H389" t="s">
        <v>2106</v>
      </c>
      <c r="I389" t="s">
        <v>2107</v>
      </c>
      <c r="J389" t="s">
        <v>47</v>
      </c>
      <c r="K389" t="s">
        <v>49</v>
      </c>
      <c r="L389">
        <v>6</v>
      </c>
      <c r="M389">
        <v>5</v>
      </c>
      <c r="N389">
        <v>4</v>
      </c>
      <c r="O389" t="s">
        <v>48</v>
      </c>
      <c r="P389" t="s">
        <v>900</v>
      </c>
      <c r="Q389" t="s">
        <v>2108</v>
      </c>
      <c r="R389">
        <v>2024</v>
      </c>
      <c r="S389" t="s">
        <v>65</v>
      </c>
      <c r="T389" t="s">
        <v>77</v>
      </c>
      <c r="U389" s="8">
        <v>45616.71875</v>
      </c>
      <c r="V389" s="2" t="s">
        <v>2109</v>
      </c>
      <c r="X389" t="s">
        <v>1252</v>
      </c>
      <c r="Z389" t="s">
        <v>807</v>
      </c>
      <c r="AA389">
        <v>891</v>
      </c>
      <c r="AB389">
        <v>5622204</v>
      </c>
      <c r="AC389" t="s">
        <v>2110</v>
      </c>
      <c r="AD389" s="2">
        <v>2</v>
      </c>
    </row>
    <row r="390" spans="2:43" ht="75">
      <c r="B390">
        <v>11</v>
      </c>
      <c r="C390">
        <v>901209598</v>
      </c>
      <c r="D390" s="54" t="s">
        <v>2111</v>
      </c>
      <c r="E390" t="s">
        <v>2111</v>
      </c>
      <c r="F390">
        <v>901209598</v>
      </c>
      <c r="G390" t="s">
        <v>2111</v>
      </c>
      <c r="H390" t="s">
        <v>2112</v>
      </c>
      <c r="I390" t="s">
        <v>104</v>
      </c>
      <c r="J390" t="s">
        <v>47</v>
      </c>
      <c r="K390" t="s">
        <v>49</v>
      </c>
      <c r="L390">
        <v>4</v>
      </c>
      <c r="M390">
        <v>4</v>
      </c>
      <c r="N390">
        <v>2</v>
      </c>
      <c r="O390" t="s">
        <v>436</v>
      </c>
      <c r="P390" t="s">
        <v>106</v>
      </c>
      <c r="Q390" t="s">
        <v>2113</v>
      </c>
      <c r="R390">
        <v>2024</v>
      </c>
      <c r="S390" t="s">
        <v>65</v>
      </c>
      <c r="T390" t="s">
        <v>2087</v>
      </c>
      <c r="U390" s="8">
        <v>45618.364722222221</v>
      </c>
      <c r="V390" s="2" t="s">
        <v>2114</v>
      </c>
      <c r="X390" t="s">
        <v>1354</v>
      </c>
      <c r="Z390" t="s">
        <v>807</v>
      </c>
      <c r="AA390">
        <v>2565</v>
      </c>
      <c r="AB390">
        <v>8043902</v>
      </c>
      <c r="AC390" t="s">
        <v>2115</v>
      </c>
      <c r="AD390" s="2" t="s">
        <v>589</v>
      </c>
      <c r="AE390" t="s">
        <v>2116</v>
      </c>
      <c r="AF390" t="s">
        <v>2117</v>
      </c>
      <c r="AG390" t="s">
        <v>592</v>
      </c>
      <c r="AH390" t="s">
        <v>1787</v>
      </c>
      <c r="AI390" s="8">
        <v>45635</v>
      </c>
      <c r="AL390" t="s">
        <v>594</v>
      </c>
      <c r="AM390" t="s">
        <v>595</v>
      </c>
      <c r="AN390" t="s">
        <v>1531</v>
      </c>
      <c r="AO390" s="2" t="s">
        <v>2118</v>
      </c>
      <c r="AP390" s="36">
        <v>374805</v>
      </c>
      <c r="AQ390" t="s">
        <v>1459</v>
      </c>
    </row>
    <row r="391" spans="2:43" ht="45" hidden="1">
      <c r="B391">
        <v>11</v>
      </c>
      <c r="C391">
        <v>15459804</v>
      </c>
      <c r="D391" t="s">
        <v>1041</v>
      </c>
      <c r="E391" t="s">
        <v>1041</v>
      </c>
      <c r="F391">
        <v>15459804</v>
      </c>
      <c r="G391" t="s">
        <v>1041</v>
      </c>
      <c r="H391" t="s">
        <v>1042</v>
      </c>
      <c r="I391" t="s">
        <v>211</v>
      </c>
      <c r="J391" t="s">
        <v>47</v>
      </c>
      <c r="K391" t="s">
        <v>48</v>
      </c>
      <c r="L391">
        <v>4</v>
      </c>
      <c r="M391">
        <v>4</v>
      </c>
      <c r="N391">
        <v>2</v>
      </c>
      <c r="O391" t="s">
        <v>48</v>
      </c>
      <c r="P391" t="s">
        <v>63</v>
      </c>
      <c r="Q391" t="s">
        <v>2119</v>
      </c>
      <c r="R391">
        <v>2024</v>
      </c>
      <c r="S391" t="s">
        <v>65</v>
      </c>
      <c r="T391" t="s">
        <v>293</v>
      </c>
      <c r="U391" s="8">
        <v>45618.514282407406</v>
      </c>
      <c r="V391" s="2" t="s">
        <v>2120</v>
      </c>
      <c r="X391" t="s">
        <v>55</v>
      </c>
      <c r="Y391" t="s">
        <v>56</v>
      </c>
      <c r="Z391" t="s">
        <v>807</v>
      </c>
      <c r="AA391">
        <v>375</v>
      </c>
      <c r="AB391">
        <v>2311316</v>
      </c>
      <c r="AC391" t="s">
        <v>1045</v>
      </c>
      <c r="AD391" s="2">
        <v>2</v>
      </c>
    </row>
    <row r="392" spans="2:43" ht="30" hidden="1">
      <c r="B392">
        <v>11</v>
      </c>
      <c r="C392">
        <v>901527268</v>
      </c>
      <c r="D392" t="s">
        <v>2121</v>
      </c>
      <c r="E392" t="s">
        <v>2122</v>
      </c>
      <c r="F392">
        <v>901527268</v>
      </c>
      <c r="G392" t="s">
        <v>2122</v>
      </c>
      <c r="H392" t="s">
        <v>2123</v>
      </c>
      <c r="I392" t="s">
        <v>711</v>
      </c>
      <c r="J392" t="s">
        <v>114</v>
      </c>
      <c r="K392" t="s">
        <v>49</v>
      </c>
      <c r="L392">
        <v>4</v>
      </c>
      <c r="M392">
        <v>4</v>
      </c>
      <c r="N392">
        <v>2</v>
      </c>
      <c r="O392" t="s">
        <v>49</v>
      </c>
      <c r="P392" t="s">
        <v>63</v>
      </c>
      <c r="Q392" t="s">
        <v>2124</v>
      </c>
      <c r="R392">
        <v>2024</v>
      </c>
      <c r="S392" t="s">
        <v>52</v>
      </c>
      <c r="T392" t="s">
        <v>116</v>
      </c>
      <c r="U392" s="8">
        <v>45618.588449074072</v>
      </c>
      <c r="V392" s="2" t="s">
        <v>2125</v>
      </c>
      <c r="X392" t="s">
        <v>1252</v>
      </c>
      <c r="Z392" t="s">
        <v>807</v>
      </c>
      <c r="AA392">
        <v>2831</v>
      </c>
      <c r="AB392">
        <v>3204782683</v>
      </c>
      <c r="AC392" t="s">
        <v>2126</v>
      </c>
      <c r="AD392" s="2">
        <v>3</v>
      </c>
      <c r="AE392" t="s">
        <v>2026</v>
      </c>
      <c r="AF392" t="s">
        <v>111</v>
      </c>
      <c r="AG392">
        <v>285403</v>
      </c>
    </row>
    <row r="393" spans="2:43" ht="30" hidden="1">
      <c r="B393">
        <v>11</v>
      </c>
      <c r="C393">
        <v>901116465</v>
      </c>
      <c r="D393" t="s">
        <v>1689</v>
      </c>
      <c r="E393" t="s">
        <v>1690</v>
      </c>
      <c r="F393">
        <v>901116465</v>
      </c>
      <c r="G393" t="s">
        <v>1690</v>
      </c>
      <c r="H393" t="s">
        <v>1691</v>
      </c>
      <c r="I393" t="s">
        <v>1555</v>
      </c>
      <c r="J393" t="s">
        <v>114</v>
      </c>
      <c r="K393" t="s">
        <v>49</v>
      </c>
      <c r="L393">
        <v>4</v>
      </c>
      <c r="M393">
        <v>4</v>
      </c>
      <c r="N393">
        <v>2</v>
      </c>
      <c r="O393" t="s">
        <v>49</v>
      </c>
      <c r="P393" t="s">
        <v>1556</v>
      </c>
      <c r="Q393" t="s">
        <v>2127</v>
      </c>
      <c r="R393">
        <v>2024</v>
      </c>
      <c r="S393" t="s">
        <v>52</v>
      </c>
      <c r="T393" t="s">
        <v>116</v>
      </c>
      <c r="U393" s="8">
        <v>45618.604907407411</v>
      </c>
      <c r="V393" s="2" t="s">
        <v>2128</v>
      </c>
      <c r="X393" t="s">
        <v>1252</v>
      </c>
      <c r="Z393" t="s">
        <v>807</v>
      </c>
      <c r="AA393">
        <v>2492</v>
      </c>
      <c r="AB393">
        <v>7344847</v>
      </c>
      <c r="AC393" t="s">
        <v>1694</v>
      </c>
      <c r="AD393" s="2">
        <v>3</v>
      </c>
      <c r="AE393" t="s">
        <v>2026</v>
      </c>
      <c r="AF393" t="s">
        <v>2129</v>
      </c>
      <c r="AG393">
        <v>286144</v>
      </c>
    </row>
    <row r="394" spans="2:43" ht="30" hidden="1">
      <c r="B394">
        <v>11</v>
      </c>
      <c r="C394">
        <v>7549599</v>
      </c>
      <c r="D394" t="s">
        <v>2130</v>
      </c>
      <c r="E394" t="s">
        <v>2131</v>
      </c>
      <c r="F394">
        <v>7549599</v>
      </c>
      <c r="G394" t="s">
        <v>2131</v>
      </c>
      <c r="H394" t="s">
        <v>2132</v>
      </c>
      <c r="I394" t="s">
        <v>1555</v>
      </c>
      <c r="J394" t="s">
        <v>114</v>
      </c>
      <c r="K394" t="s">
        <v>49</v>
      </c>
      <c r="L394">
        <v>1</v>
      </c>
      <c r="M394">
        <v>1</v>
      </c>
      <c r="N394">
        <v>-1</v>
      </c>
      <c r="O394" t="s">
        <v>49</v>
      </c>
      <c r="P394" t="s">
        <v>1556</v>
      </c>
      <c r="Q394" t="s">
        <v>2133</v>
      </c>
      <c r="R394">
        <v>2024</v>
      </c>
      <c r="S394" t="s">
        <v>52</v>
      </c>
      <c r="T394" t="s">
        <v>116</v>
      </c>
      <c r="U394" s="8">
        <v>45621.603009259263</v>
      </c>
      <c r="V394" s="2" t="s">
        <v>2134</v>
      </c>
      <c r="X394" t="s">
        <v>1252</v>
      </c>
      <c r="Z394" t="s">
        <v>807</v>
      </c>
      <c r="AA394">
        <v>1215</v>
      </c>
      <c r="AB394">
        <v>7447384</v>
      </c>
      <c r="AC394" t="s">
        <v>2135</v>
      </c>
      <c r="AD394" s="2">
        <v>3</v>
      </c>
      <c r="AE394" t="s">
        <v>2026</v>
      </c>
      <c r="AF394" t="s">
        <v>2129</v>
      </c>
      <c r="AG394">
        <v>286155</v>
      </c>
    </row>
    <row r="395" spans="2:43" ht="60">
      <c r="B395">
        <v>11</v>
      </c>
      <c r="C395">
        <v>860513360</v>
      </c>
      <c r="D395" s="44" t="s">
        <v>1903</v>
      </c>
      <c r="E395" t="s">
        <v>1903</v>
      </c>
      <c r="F395">
        <v>860513360</v>
      </c>
      <c r="G395" t="s">
        <v>1903</v>
      </c>
      <c r="H395" t="s">
        <v>1904</v>
      </c>
      <c r="I395" t="s">
        <v>104</v>
      </c>
      <c r="J395" t="s">
        <v>47</v>
      </c>
      <c r="K395" t="s">
        <v>105</v>
      </c>
      <c r="L395">
        <v>1</v>
      </c>
      <c r="M395">
        <v>1</v>
      </c>
      <c r="N395">
        <v>-1</v>
      </c>
      <c r="O395" t="s">
        <v>105</v>
      </c>
      <c r="P395" t="s">
        <v>106</v>
      </c>
      <c r="Q395" t="s">
        <v>2136</v>
      </c>
      <c r="R395">
        <v>2024</v>
      </c>
      <c r="S395" t="s">
        <v>65</v>
      </c>
      <c r="T395" t="s">
        <v>66</v>
      </c>
      <c r="U395" s="8">
        <v>45621.631921296299</v>
      </c>
      <c r="V395" s="2" t="s">
        <v>2137</v>
      </c>
      <c r="X395" t="s">
        <v>1354</v>
      </c>
      <c r="Z395" t="s">
        <v>807</v>
      </c>
      <c r="AA395">
        <v>1654</v>
      </c>
      <c r="AB395">
        <v>7446779</v>
      </c>
      <c r="AC395" t="s">
        <v>1907</v>
      </c>
      <c r="AD395" s="13" t="s">
        <v>1899</v>
      </c>
      <c r="AM395" t="s">
        <v>607</v>
      </c>
      <c r="AN395" t="s">
        <v>2138</v>
      </c>
    </row>
    <row r="396" spans="2:43" ht="60" hidden="1">
      <c r="B396">
        <v>11</v>
      </c>
      <c r="C396">
        <v>32276162</v>
      </c>
      <c r="D396" t="s">
        <v>2139</v>
      </c>
      <c r="E396" t="s">
        <v>2140</v>
      </c>
      <c r="F396">
        <v>32276162</v>
      </c>
      <c r="G396" t="s">
        <v>2140</v>
      </c>
      <c r="H396" t="s">
        <v>2141</v>
      </c>
      <c r="I396" t="s">
        <v>113</v>
      </c>
      <c r="J396" t="s">
        <v>47</v>
      </c>
      <c r="K396" t="s">
        <v>48</v>
      </c>
      <c r="L396">
        <v>8</v>
      </c>
      <c r="M396">
        <v>7</v>
      </c>
      <c r="N396">
        <v>6</v>
      </c>
      <c r="O396" t="s">
        <v>49</v>
      </c>
      <c r="P396" t="s">
        <v>63</v>
      </c>
      <c r="Q396" t="s">
        <v>2142</v>
      </c>
      <c r="R396">
        <v>2024</v>
      </c>
      <c r="S396" t="s">
        <v>124</v>
      </c>
      <c r="T396" t="s">
        <v>537</v>
      </c>
      <c r="U396" s="10">
        <v>45623.630462962959</v>
      </c>
      <c r="V396" s="2" t="s">
        <v>2143</v>
      </c>
      <c r="X396" t="s">
        <v>55</v>
      </c>
      <c r="Y396" t="s">
        <v>56</v>
      </c>
      <c r="Z396" t="s">
        <v>807</v>
      </c>
      <c r="AA396">
        <v>615</v>
      </c>
      <c r="AB396">
        <v>8595096</v>
      </c>
      <c r="AC396" t="s">
        <v>2144</v>
      </c>
      <c r="AD396"/>
      <c r="AJ396"/>
      <c r="AK396"/>
    </row>
    <row r="397" spans="2:43" ht="60" hidden="1">
      <c r="B397">
        <v>11</v>
      </c>
      <c r="C397">
        <v>19355560</v>
      </c>
      <c r="D397" t="s">
        <v>1822</v>
      </c>
      <c r="E397" t="s">
        <v>1823</v>
      </c>
      <c r="F397">
        <v>19355560</v>
      </c>
      <c r="G397" t="s">
        <v>1823</v>
      </c>
      <c r="H397" t="s">
        <v>1824</v>
      </c>
      <c r="I397" t="s">
        <v>104</v>
      </c>
      <c r="J397" t="s">
        <v>47</v>
      </c>
      <c r="K397" t="s">
        <v>49</v>
      </c>
      <c r="L397">
        <v>7</v>
      </c>
      <c r="M397">
        <v>7</v>
      </c>
      <c r="N397">
        <v>5</v>
      </c>
      <c r="O397" t="s">
        <v>49</v>
      </c>
      <c r="P397" t="s">
        <v>106</v>
      </c>
      <c r="Q397" t="s">
        <v>2145</v>
      </c>
      <c r="R397">
        <v>2024</v>
      </c>
      <c r="S397" t="s">
        <v>52</v>
      </c>
      <c r="T397" t="s">
        <v>53</v>
      </c>
      <c r="U397" s="10">
        <v>45624.440578703703</v>
      </c>
      <c r="V397" s="2" t="s">
        <v>2146</v>
      </c>
      <c r="X397" t="s">
        <v>1252</v>
      </c>
      <c r="Z397" t="s">
        <v>807</v>
      </c>
      <c r="AA397">
        <v>474</v>
      </c>
      <c r="AB397">
        <v>4929921</v>
      </c>
      <c r="AC397" t="s">
        <v>1827</v>
      </c>
      <c r="AD397"/>
      <c r="AJ397"/>
      <c r="AK397"/>
    </row>
    <row r="398" spans="2:43" ht="30" hidden="1">
      <c r="B398">
        <v>11</v>
      </c>
      <c r="C398">
        <v>802011128</v>
      </c>
      <c r="D398" t="s">
        <v>1548</v>
      </c>
      <c r="E398" t="s">
        <v>1548</v>
      </c>
      <c r="F398">
        <v>802011128</v>
      </c>
      <c r="G398" t="s">
        <v>1548</v>
      </c>
      <c r="H398" t="s">
        <v>1549</v>
      </c>
      <c r="I398" t="s">
        <v>46</v>
      </c>
      <c r="J398" t="s">
        <v>114</v>
      </c>
      <c r="K398" t="s">
        <v>48</v>
      </c>
      <c r="L398">
        <v>7</v>
      </c>
      <c r="M398">
        <v>6</v>
      </c>
      <c r="N398">
        <v>5</v>
      </c>
      <c r="O398" t="s">
        <v>49</v>
      </c>
      <c r="P398" t="s">
        <v>50</v>
      </c>
      <c r="Q398" t="s">
        <v>2147</v>
      </c>
      <c r="R398">
        <v>2024</v>
      </c>
      <c r="S398" t="s">
        <v>52</v>
      </c>
      <c r="T398" t="s">
        <v>116</v>
      </c>
      <c r="U398" s="10">
        <v>45624.600300925929</v>
      </c>
      <c r="V398" s="2" t="s">
        <v>2148</v>
      </c>
      <c r="X398" t="s">
        <v>55</v>
      </c>
      <c r="Y398" t="s">
        <v>56</v>
      </c>
      <c r="Z398" t="s">
        <v>807</v>
      </c>
      <c r="AA398">
        <v>1406</v>
      </c>
      <c r="AB398">
        <v>3532146</v>
      </c>
      <c r="AC398" t="s">
        <v>1552</v>
      </c>
      <c r="AD398"/>
      <c r="AJ398"/>
      <c r="AK398"/>
    </row>
    <row r="399" spans="2:43" ht="195" hidden="1">
      <c r="B399">
        <v>11</v>
      </c>
      <c r="C399">
        <v>802011128</v>
      </c>
      <c r="D399" t="s">
        <v>1548</v>
      </c>
      <c r="E399" t="s">
        <v>1548</v>
      </c>
      <c r="F399">
        <v>802011128</v>
      </c>
      <c r="G399" t="s">
        <v>1548</v>
      </c>
      <c r="H399" t="s">
        <v>1549</v>
      </c>
      <c r="I399" t="s">
        <v>46</v>
      </c>
      <c r="J399" t="s">
        <v>47</v>
      </c>
      <c r="K399" t="s">
        <v>49</v>
      </c>
      <c r="L399">
        <v>7</v>
      </c>
      <c r="M399">
        <v>7</v>
      </c>
      <c r="N399">
        <v>5</v>
      </c>
      <c r="O399" t="s">
        <v>49</v>
      </c>
      <c r="P399" t="s">
        <v>50</v>
      </c>
      <c r="Q399" t="s">
        <v>2149</v>
      </c>
      <c r="R399">
        <v>2024</v>
      </c>
      <c r="S399" t="s">
        <v>124</v>
      </c>
      <c r="T399" t="s">
        <v>537</v>
      </c>
      <c r="U399" s="10">
        <v>45624.613009259258</v>
      </c>
      <c r="V399" s="2" t="s">
        <v>2150</v>
      </c>
      <c r="X399" t="s">
        <v>1252</v>
      </c>
      <c r="Z399" t="s">
        <v>807</v>
      </c>
      <c r="AA399">
        <v>1406</v>
      </c>
      <c r="AB399">
        <v>3532146</v>
      </c>
      <c r="AC399" t="s">
        <v>1552</v>
      </c>
      <c r="AD399"/>
      <c r="AJ399"/>
      <c r="AK399"/>
    </row>
    <row r="400" spans="2:43" ht="30" hidden="1">
      <c r="B400">
        <v>11</v>
      </c>
      <c r="C400">
        <v>7549599</v>
      </c>
      <c r="D400" t="s">
        <v>2130</v>
      </c>
      <c r="E400" t="s">
        <v>2131</v>
      </c>
      <c r="F400">
        <v>7549599</v>
      </c>
      <c r="G400" t="s">
        <v>2131</v>
      </c>
      <c r="H400" t="s">
        <v>2132</v>
      </c>
      <c r="I400" t="s">
        <v>1555</v>
      </c>
      <c r="J400" t="s">
        <v>114</v>
      </c>
      <c r="K400" t="s">
        <v>48</v>
      </c>
      <c r="L400">
        <v>6</v>
      </c>
      <c r="M400">
        <v>0</v>
      </c>
      <c r="N400">
        <v>4</v>
      </c>
      <c r="O400" t="s">
        <v>49</v>
      </c>
      <c r="P400" t="s">
        <v>1556</v>
      </c>
      <c r="Q400" t="s">
        <v>2151</v>
      </c>
      <c r="R400">
        <v>2024</v>
      </c>
      <c r="S400" t="s">
        <v>52</v>
      </c>
      <c r="T400" t="s">
        <v>116</v>
      </c>
      <c r="U400" s="10">
        <v>45625.397615740738</v>
      </c>
      <c r="V400" s="2" t="s">
        <v>2152</v>
      </c>
      <c r="X400" t="s">
        <v>1252</v>
      </c>
      <c r="Z400" t="s">
        <v>807</v>
      </c>
      <c r="AA400">
        <v>1215</v>
      </c>
      <c r="AB400">
        <v>7447384</v>
      </c>
      <c r="AC400" t="s">
        <v>2135</v>
      </c>
      <c r="AD400"/>
      <c r="AJ400"/>
      <c r="AK400"/>
    </row>
    <row r="401" spans="2:43" ht="45" hidden="1">
      <c r="B401">
        <v>11</v>
      </c>
      <c r="C401">
        <v>13888420</v>
      </c>
      <c r="D401" t="s">
        <v>2153</v>
      </c>
      <c r="E401" t="s">
        <v>2154</v>
      </c>
      <c r="F401">
        <v>13888420</v>
      </c>
      <c r="G401" t="s">
        <v>2154</v>
      </c>
      <c r="H401" t="s">
        <v>2155</v>
      </c>
      <c r="I401" t="s">
        <v>197</v>
      </c>
      <c r="J401" t="s">
        <v>47</v>
      </c>
      <c r="K401" t="s">
        <v>48</v>
      </c>
      <c r="L401">
        <v>6</v>
      </c>
      <c r="M401">
        <v>6</v>
      </c>
      <c r="N401">
        <v>4</v>
      </c>
      <c r="O401" t="s">
        <v>48</v>
      </c>
      <c r="P401" t="s">
        <v>198</v>
      </c>
      <c r="Q401" t="s">
        <v>2156</v>
      </c>
      <c r="R401">
        <v>2024</v>
      </c>
      <c r="S401" t="s">
        <v>65</v>
      </c>
      <c r="T401" t="s">
        <v>334</v>
      </c>
      <c r="U401" s="10">
        <v>45625.413425925923</v>
      </c>
      <c r="V401" s="2" t="s">
        <v>2157</v>
      </c>
      <c r="X401" t="s">
        <v>55</v>
      </c>
      <c r="Y401" t="s">
        <v>56</v>
      </c>
      <c r="Z401" t="s">
        <v>807</v>
      </c>
      <c r="AA401">
        <v>325</v>
      </c>
      <c r="AB401">
        <v>3160268701</v>
      </c>
      <c r="AC401" t="s">
        <v>2158</v>
      </c>
      <c r="AD401"/>
      <c r="AJ401"/>
      <c r="AK401"/>
    </row>
    <row r="402" spans="2:43" ht="75" hidden="1">
      <c r="B402">
        <v>12</v>
      </c>
      <c r="C402">
        <v>7306475</v>
      </c>
      <c r="D402" t="s">
        <v>2159</v>
      </c>
      <c r="E402" t="s">
        <v>2160</v>
      </c>
      <c r="F402">
        <v>7306475</v>
      </c>
      <c r="G402" t="s">
        <v>2160</v>
      </c>
      <c r="H402" t="s">
        <v>2161</v>
      </c>
      <c r="I402" t="s">
        <v>2162</v>
      </c>
      <c r="J402" t="s">
        <v>47</v>
      </c>
      <c r="K402" t="s">
        <v>48</v>
      </c>
      <c r="L402">
        <v>2</v>
      </c>
      <c r="M402">
        <v>1</v>
      </c>
      <c r="N402">
        <v>0</v>
      </c>
      <c r="O402" t="s">
        <v>48</v>
      </c>
      <c r="P402" t="s">
        <v>2163</v>
      </c>
      <c r="Q402" t="s">
        <v>2164</v>
      </c>
      <c r="R402">
        <v>2024</v>
      </c>
      <c r="S402" t="s">
        <v>65</v>
      </c>
      <c r="T402" t="s">
        <v>334</v>
      </c>
      <c r="U402" s="10">
        <v>45629.606342592589</v>
      </c>
      <c r="V402" s="2" t="s">
        <v>2165</v>
      </c>
      <c r="X402" t="s">
        <v>1252</v>
      </c>
      <c r="Z402" t="s">
        <v>807</v>
      </c>
      <c r="AA402">
        <v>1199</v>
      </c>
      <c r="AB402">
        <v>7260828</v>
      </c>
      <c r="AC402" t="s">
        <v>2166</v>
      </c>
      <c r="AD402"/>
      <c r="AJ402"/>
      <c r="AK402"/>
    </row>
    <row r="403" spans="2:43" ht="30" hidden="1">
      <c r="B403">
        <v>12</v>
      </c>
      <c r="C403">
        <v>900224771</v>
      </c>
      <c r="D403" t="s">
        <v>151</v>
      </c>
      <c r="E403" t="s">
        <v>151</v>
      </c>
      <c r="F403">
        <v>900224771</v>
      </c>
      <c r="G403" t="s">
        <v>151</v>
      </c>
      <c r="H403" t="s">
        <v>153</v>
      </c>
      <c r="I403" t="s">
        <v>46</v>
      </c>
      <c r="J403" t="s">
        <v>47</v>
      </c>
      <c r="K403" t="s">
        <v>48</v>
      </c>
      <c r="L403">
        <v>1</v>
      </c>
      <c r="M403">
        <v>1</v>
      </c>
      <c r="N403">
        <v>-1</v>
      </c>
      <c r="O403" t="s">
        <v>48</v>
      </c>
      <c r="P403" t="s">
        <v>50</v>
      </c>
      <c r="Q403" t="s">
        <v>2167</v>
      </c>
      <c r="R403">
        <v>2024</v>
      </c>
      <c r="S403" t="s">
        <v>190</v>
      </c>
      <c r="T403" t="s">
        <v>713</v>
      </c>
      <c r="U403" s="10">
        <v>45630.387488425928</v>
      </c>
      <c r="V403" s="2" t="s">
        <v>2168</v>
      </c>
      <c r="X403" t="s">
        <v>1252</v>
      </c>
      <c r="Z403" t="s">
        <v>807</v>
      </c>
      <c r="AA403">
        <v>1880</v>
      </c>
      <c r="AB403">
        <v>3092142</v>
      </c>
      <c r="AC403" t="s">
        <v>156</v>
      </c>
      <c r="AD403"/>
      <c r="AJ403"/>
      <c r="AK403"/>
    </row>
    <row r="404" spans="2:43" ht="60" hidden="1">
      <c r="B404">
        <v>12</v>
      </c>
      <c r="C404">
        <v>15378042</v>
      </c>
      <c r="D404" t="s">
        <v>514</v>
      </c>
      <c r="E404" t="s">
        <v>515</v>
      </c>
      <c r="F404">
        <v>15378042</v>
      </c>
      <c r="G404" t="s">
        <v>515</v>
      </c>
      <c r="H404" t="s">
        <v>516</v>
      </c>
      <c r="I404" t="s">
        <v>517</v>
      </c>
      <c r="J404" t="s">
        <v>47</v>
      </c>
      <c r="K404" t="s">
        <v>49</v>
      </c>
      <c r="L404">
        <v>1</v>
      </c>
      <c r="M404">
        <v>1</v>
      </c>
      <c r="N404">
        <v>-1</v>
      </c>
      <c r="O404" t="s">
        <v>49</v>
      </c>
      <c r="P404" t="s">
        <v>63</v>
      </c>
      <c r="Q404" t="s">
        <v>2169</v>
      </c>
      <c r="R404">
        <v>2024</v>
      </c>
      <c r="S404" t="s">
        <v>52</v>
      </c>
      <c r="T404" t="s">
        <v>53</v>
      </c>
      <c r="U404" s="10">
        <v>45630.442766203705</v>
      </c>
      <c r="V404" s="2" t="s">
        <v>2170</v>
      </c>
      <c r="X404" t="s">
        <v>1252</v>
      </c>
      <c r="Z404" t="s">
        <v>807</v>
      </c>
      <c r="AA404">
        <v>365</v>
      </c>
      <c r="AB404">
        <v>5531705</v>
      </c>
      <c r="AC404" t="s">
        <v>520</v>
      </c>
      <c r="AD404"/>
      <c r="AJ404"/>
      <c r="AK404"/>
    </row>
    <row r="405" spans="2:43" ht="45" hidden="1">
      <c r="B405">
        <v>12</v>
      </c>
      <c r="C405">
        <v>800101757</v>
      </c>
      <c r="D405" t="s">
        <v>2171</v>
      </c>
      <c r="E405" t="s">
        <v>2172</v>
      </c>
      <c r="F405">
        <v>800101757</v>
      </c>
      <c r="G405" t="s">
        <v>2172</v>
      </c>
      <c r="H405" t="s">
        <v>2173</v>
      </c>
      <c r="I405" t="s">
        <v>348</v>
      </c>
      <c r="J405" t="s">
        <v>47</v>
      </c>
      <c r="K405" t="s">
        <v>49</v>
      </c>
      <c r="L405">
        <v>1</v>
      </c>
      <c r="M405">
        <v>1</v>
      </c>
      <c r="N405">
        <v>-1</v>
      </c>
      <c r="O405" t="s">
        <v>49</v>
      </c>
      <c r="P405" t="s">
        <v>349</v>
      </c>
      <c r="Q405" t="s">
        <v>2174</v>
      </c>
      <c r="R405">
        <v>2024</v>
      </c>
      <c r="S405" t="s">
        <v>52</v>
      </c>
      <c r="T405" t="s">
        <v>53</v>
      </c>
      <c r="U405" s="10">
        <v>45630.623194444444</v>
      </c>
      <c r="V405" s="2" t="s">
        <v>2175</v>
      </c>
      <c r="X405" t="s">
        <v>1252</v>
      </c>
      <c r="Z405" t="s">
        <v>807</v>
      </c>
      <c r="AA405">
        <v>1335</v>
      </c>
      <c r="AB405">
        <v>6711743</v>
      </c>
      <c r="AC405" t="s">
        <v>2176</v>
      </c>
      <c r="AD405"/>
      <c r="AJ405"/>
      <c r="AK405"/>
    </row>
    <row r="406" spans="2:43" ht="60" hidden="1">
      <c r="B406">
        <v>12</v>
      </c>
      <c r="C406">
        <v>8012194</v>
      </c>
      <c r="D406" t="s">
        <v>956</v>
      </c>
      <c r="E406" t="s">
        <v>956</v>
      </c>
      <c r="F406">
        <v>8012194</v>
      </c>
      <c r="G406" t="s">
        <v>956</v>
      </c>
      <c r="H406" t="s">
        <v>957</v>
      </c>
      <c r="I406" t="s">
        <v>958</v>
      </c>
      <c r="J406" t="s">
        <v>47</v>
      </c>
      <c r="K406" t="s">
        <v>48</v>
      </c>
      <c r="L406">
        <v>1</v>
      </c>
      <c r="M406">
        <v>0</v>
      </c>
      <c r="N406">
        <v>-1</v>
      </c>
      <c r="O406" t="s">
        <v>48</v>
      </c>
      <c r="P406" t="s">
        <v>63</v>
      </c>
      <c r="Q406" t="s">
        <v>2177</v>
      </c>
      <c r="R406">
        <v>2024</v>
      </c>
      <c r="S406" t="s">
        <v>65</v>
      </c>
      <c r="T406" t="s">
        <v>334</v>
      </c>
      <c r="U406" s="10">
        <v>45630.632962962962</v>
      </c>
      <c r="V406" s="2" t="s">
        <v>2178</v>
      </c>
      <c r="X406" t="s">
        <v>55</v>
      </c>
      <c r="Y406" t="s">
        <v>56</v>
      </c>
      <c r="Z406" t="s">
        <v>807</v>
      </c>
      <c r="AA406">
        <v>1397</v>
      </c>
      <c r="AB406">
        <v>8300144</v>
      </c>
      <c r="AC406" t="s">
        <v>961</v>
      </c>
      <c r="AD406"/>
      <c r="AJ406"/>
      <c r="AK406"/>
    </row>
    <row r="407" spans="2:43" ht="30" hidden="1">
      <c r="B407">
        <v>12</v>
      </c>
      <c r="C407">
        <v>802011128</v>
      </c>
      <c r="D407" t="s">
        <v>1548</v>
      </c>
      <c r="E407" t="s">
        <v>1548</v>
      </c>
      <c r="F407">
        <v>802011128</v>
      </c>
      <c r="G407" t="s">
        <v>1548</v>
      </c>
      <c r="H407" t="s">
        <v>1549</v>
      </c>
      <c r="I407" t="s">
        <v>46</v>
      </c>
      <c r="J407" t="s">
        <v>47</v>
      </c>
      <c r="K407" t="s">
        <v>48</v>
      </c>
      <c r="L407">
        <v>12</v>
      </c>
      <c r="M407">
        <v>9</v>
      </c>
      <c r="N407">
        <v>10</v>
      </c>
      <c r="O407" t="s">
        <v>49</v>
      </c>
      <c r="P407" t="s">
        <v>50</v>
      </c>
      <c r="Q407" t="s">
        <v>2179</v>
      </c>
      <c r="R407">
        <v>2024</v>
      </c>
      <c r="S407" t="s">
        <v>65</v>
      </c>
      <c r="T407" t="s">
        <v>125</v>
      </c>
      <c r="U407" s="8">
        <v>45632.340740740743</v>
      </c>
      <c r="V407" s="2" t="s">
        <v>2180</v>
      </c>
      <c r="X407" t="s">
        <v>55</v>
      </c>
      <c r="Y407" t="s">
        <v>56</v>
      </c>
      <c r="Z407" t="s">
        <v>807</v>
      </c>
      <c r="AA407">
        <v>1406</v>
      </c>
      <c r="AB407">
        <v>3532146</v>
      </c>
      <c r="AC407" t="s">
        <v>1552</v>
      </c>
      <c r="AD407"/>
    </row>
    <row r="408" spans="2:43" ht="45" hidden="1">
      <c r="B408">
        <v>12</v>
      </c>
      <c r="C408">
        <v>900125147</v>
      </c>
      <c r="D408" t="s">
        <v>2181</v>
      </c>
      <c r="E408" t="s">
        <v>2181</v>
      </c>
      <c r="F408">
        <v>900125147</v>
      </c>
      <c r="G408" t="s">
        <v>2181</v>
      </c>
      <c r="H408" t="s">
        <v>2182</v>
      </c>
      <c r="I408" t="s">
        <v>1084</v>
      </c>
      <c r="J408" t="s">
        <v>47</v>
      </c>
      <c r="K408" t="s">
        <v>48</v>
      </c>
      <c r="L408">
        <v>12</v>
      </c>
      <c r="M408">
        <v>9</v>
      </c>
      <c r="N408">
        <v>10</v>
      </c>
      <c r="O408" t="s">
        <v>49</v>
      </c>
      <c r="P408" t="s">
        <v>50</v>
      </c>
      <c r="Q408" t="s">
        <v>2183</v>
      </c>
      <c r="R408">
        <v>2024</v>
      </c>
      <c r="S408" t="s">
        <v>65</v>
      </c>
      <c r="T408" t="s">
        <v>125</v>
      </c>
      <c r="U408" s="8">
        <v>45632.348402777781</v>
      </c>
      <c r="V408" s="2" t="s">
        <v>2184</v>
      </c>
      <c r="X408" t="s">
        <v>55</v>
      </c>
      <c r="Y408" t="s">
        <v>56</v>
      </c>
      <c r="Z408" t="s">
        <v>807</v>
      </c>
      <c r="AA408">
        <v>1833</v>
      </c>
      <c r="AB408">
        <v>3231367</v>
      </c>
      <c r="AC408" t="s">
        <v>2185</v>
      </c>
      <c r="AD408"/>
    </row>
    <row r="409" spans="2:43" ht="75" hidden="1">
      <c r="B409">
        <v>12</v>
      </c>
      <c r="C409">
        <v>901146913</v>
      </c>
      <c r="D409" t="s">
        <v>43</v>
      </c>
      <c r="E409" t="s">
        <v>44</v>
      </c>
      <c r="F409">
        <v>901146913</v>
      </c>
      <c r="G409" t="s">
        <v>44</v>
      </c>
      <c r="H409" t="s">
        <v>45</v>
      </c>
      <c r="I409" t="s">
        <v>46</v>
      </c>
      <c r="J409" t="s">
        <v>47</v>
      </c>
      <c r="K409" t="s">
        <v>48</v>
      </c>
      <c r="L409">
        <v>12</v>
      </c>
      <c r="M409">
        <v>9</v>
      </c>
      <c r="N409">
        <v>10</v>
      </c>
      <c r="O409" t="s">
        <v>49</v>
      </c>
      <c r="P409" t="s">
        <v>50</v>
      </c>
      <c r="Q409" t="s">
        <v>2186</v>
      </c>
      <c r="R409">
        <v>2024</v>
      </c>
      <c r="S409" t="s">
        <v>65</v>
      </c>
      <c r="T409" t="s">
        <v>125</v>
      </c>
      <c r="U409" s="8">
        <v>45632.380972222221</v>
      </c>
      <c r="V409" s="2" t="s">
        <v>2187</v>
      </c>
      <c r="X409" t="s">
        <v>55</v>
      </c>
      <c r="Y409" t="s">
        <v>56</v>
      </c>
      <c r="Z409" t="s">
        <v>807</v>
      </c>
      <c r="AA409">
        <v>2516</v>
      </c>
      <c r="AB409">
        <v>3793437</v>
      </c>
      <c r="AC409" t="s">
        <v>58</v>
      </c>
      <c r="AD409"/>
    </row>
    <row r="410" spans="2:43" ht="60" hidden="1">
      <c r="B410">
        <v>12</v>
      </c>
      <c r="C410">
        <v>70567369</v>
      </c>
      <c r="D410" t="s">
        <v>1397</v>
      </c>
      <c r="E410" t="s">
        <v>1398</v>
      </c>
      <c r="F410">
        <v>70567369</v>
      </c>
      <c r="G410" t="s">
        <v>1398</v>
      </c>
      <c r="H410" t="s">
        <v>1399</v>
      </c>
      <c r="I410" t="s">
        <v>1400</v>
      </c>
      <c r="J410" t="s">
        <v>47</v>
      </c>
      <c r="K410" t="s">
        <v>48</v>
      </c>
      <c r="L410">
        <v>12</v>
      </c>
      <c r="M410">
        <v>9</v>
      </c>
      <c r="N410">
        <v>10</v>
      </c>
      <c r="O410" t="s">
        <v>48</v>
      </c>
      <c r="P410" t="s">
        <v>63</v>
      </c>
      <c r="Q410" t="s">
        <v>2188</v>
      </c>
      <c r="R410">
        <v>2024</v>
      </c>
      <c r="S410" t="s">
        <v>65</v>
      </c>
      <c r="T410" t="s">
        <v>334</v>
      </c>
      <c r="U410" s="8">
        <v>45632.397361111114</v>
      </c>
      <c r="V410" s="2" t="s">
        <v>2189</v>
      </c>
      <c r="X410" t="s">
        <v>55</v>
      </c>
      <c r="Y410" t="s">
        <v>56</v>
      </c>
      <c r="Z410" t="s">
        <v>807</v>
      </c>
      <c r="AA410">
        <v>1019</v>
      </c>
      <c r="AB410">
        <v>8331307</v>
      </c>
      <c r="AC410" t="s">
        <v>2190</v>
      </c>
      <c r="AD410"/>
    </row>
    <row r="411" spans="2:43" ht="90" hidden="1">
      <c r="B411">
        <v>12</v>
      </c>
      <c r="C411">
        <v>805030512</v>
      </c>
      <c r="D411" t="s">
        <v>2191</v>
      </c>
      <c r="E411" t="s">
        <v>2191</v>
      </c>
      <c r="F411">
        <v>805030512</v>
      </c>
      <c r="G411" t="s">
        <v>2191</v>
      </c>
      <c r="H411" t="s">
        <v>2192</v>
      </c>
      <c r="I411" t="s">
        <v>96</v>
      </c>
      <c r="J411" t="s">
        <v>47</v>
      </c>
      <c r="K411" t="s">
        <v>48</v>
      </c>
      <c r="L411">
        <v>12</v>
      </c>
      <c r="M411">
        <v>9</v>
      </c>
      <c r="N411">
        <v>10</v>
      </c>
      <c r="O411" t="s">
        <v>48</v>
      </c>
      <c r="P411" t="s">
        <v>97</v>
      </c>
      <c r="Q411" t="s">
        <v>2193</v>
      </c>
      <c r="R411">
        <v>2024</v>
      </c>
      <c r="S411" t="s">
        <v>52</v>
      </c>
      <c r="T411" t="s">
        <v>1036</v>
      </c>
      <c r="U411" s="8">
        <v>45632.523576388892</v>
      </c>
      <c r="V411" s="2" t="s">
        <v>2194</v>
      </c>
      <c r="X411" t="s">
        <v>55</v>
      </c>
      <c r="Y411" t="s">
        <v>56</v>
      </c>
      <c r="Z411" t="s">
        <v>807</v>
      </c>
      <c r="AA411">
        <v>1437</v>
      </c>
      <c r="AB411">
        <v>3117642657</v>
      </c>
      <c r="AC411" t="s">
        <v>2195</v>
      </c>
      <c r="AD411"/>
    </row>
    <row r="412" spans="2:43" ht="45" hidden="1">
      <c r="B412">
        <v>12</v>
      </c>
      <c r="C412">
        <v>890900044</v>
      </c>
      <c r="D412" t="s">
        <v>370</v>
      </c>
      <c r="E412" t="s">
        <v>371</v>
      </c>
      <c r="F412">
        <v>890900044</v>
      </c>
      <c r="G412" t="s">
        <v>371</v>
      </c>
      <c r="H412" t="s">
        <v>373</v>
      </c>
      <c r="I412" t="s">
        <v>211</v>
      </c>
      <c r="J412" t="s">
        <v>114</v>
      </c>
      <c r="K412" t="s">
        <v>48</v>
      </c>
      <c r="L412">
        <v>8</v>
      </c>
      <c r="M412">
        <v>7</v>
      </c>
      <c r="N412">
        <v>6</v>
      </c>
      <c r="O412" t="s">
        <v>48</v>
      </c>
      <c r="P412" t="s">
        <v>63</v>
      </c>
      <c r="Q412" t="s">
        <v>2196</v>
      </c>
      <c r="R412">
        <v>2024</v>
      </c>
      <c r="S412" t="s">
        <v>52</v>
      </c>
      <c r="T412" t="s">
        <v>661</v>
      </c>
      <c r="U412" s="8">
        <v>45636.391956018517</v>
      </c>
      <c r="V412" s="2" t="s">
        <v>2197</v>
      </c>
      <c r="X412" t="s">
        <v>55</v>
      </c>
      <c r="Y412" t="s">
        <v>56</v>
      </c>
      <c r="Z412" t="s">
        <v>807</v>
      </c>
      <c r="AA412">
        <v>1710</v>
      </c>
      <c r="AB412">
        <v>4489343</v>
      </c>
      <c r="AC412" t="s">
        <v>376</v>
      </c>
      <c r="AD412"/>
    </row>
    <row r="413" spans="2:43" ht="45">
      <c r="B413">
        <v>12</v>
      </c>
      <c r="C413">
        <v>890900044</v>
      </c>
      <c r="D413" s="55" t="s">
        <v>370</v>
      </c>
      <c r="E413" t="s">
        <v>371</v>
      </c>
      <c r="F413">
        <v>890900044</v>
      </c>
      <c r="G413" t="s">
        <v>371</v>
      </c>
      <c r="H413" t="s">
        <v>373</v>
      </c>
      <c r="I413" t="s">
        <v>211</v>
      </c>
      <c r="J413" t="s">
        <v>114</v>
      </c>
      <c r="K413" t="s">
        <v>49</v>
      </c>
      <c r="L413">
        <v>6</v>
      </c>
      <c r="M413">
        <v>6</v>
      </c>
      <c r="N413">
        <v>4</v>
      </c>
      <c r="O413" t="s">
        <v>436</v>
      </c>
      <c r="P413" t="s">
        <v>63</v>
      </c>
      <c r="Q413" t="s">
        <v>2198</v>
      </c>
      <c r="R413">
        <v>2024</v>
      </c>
      <c r="S413" t="s">
        <v>52</v>
      </c>
      <c r="T413" t="s">
        <v>116</v>
      </c>
      <c r="U413" s="8">
        <v>45638.383298611108</v>
      </c>
      <c r="V413" s="2" t="s">
        <v>2199</v>
      </c>
      <c r="X413" t="s">
        <v>1354</v>
      </c>
      <c r="Z413" t="s">
        <v>807</v>
      </c>
      <c r="AA413">
        <v>1710</v>
      </c>
      <c r="AB413">
        <v>4489343</v>
      </c>
      <c r="AC413" t="s">
        <v>376</v>
      </c>
      <c r="AD413" t="s">
        <v>439</v>
      </c>
      <c r="AE413" t="s">
        <v>2200</v>
      </c>
      <c r="AF413" t="s">
        <v>2201</v>
      </c>
      <c r="AG413" t="s">
        <v>592</v>
      </c>
      <c r="AH413" t="s">
        <v>1787</v>
      </c>
      <c r="AI413" s="8">
        <v>45642</v>
      </c>
      <c r="AL413" t="s">
        <v>594</v>
      </c>
      <c r="AM413" t="s">
        <v>595</v>
      </c>
      <c r="AN413" t="s">
        <v>440</v>
      </c>
      <c r="AO413" t="s">
        <v>2202</v>
      </c>
      <c r="AP413" s="52">
        <v>192226</v>
      </c>
      <c r="AQ413" t="s">
        <v>1459</v>
      </c>
    </row>
    <row r="414" spans="2:43" ht="45" hidden="1">
      <c r="B414">
        <v>12</v>
      </c>
      <c r="C414">
        <v>901817832</v>
      </c>
      <c r="D414" t="s">
        <v>2203</v>
      </c>
      <c r="E414" t="s">
        <v>2203</v>
      </c>
      <c r="F414">
        <v>901817832</v>
      </c>
      <c r="G414" t="s">
        <v>2203</v>
      </c>
      <c r="H414" t="s">
        <v>2204</v>
      </c>
      <c r="I414" t="s">
        <v>46</v>
      </c>
      <c r="J414" t="s">
        <v>47</v>
      </c>
      <c r="K414" t="s">
        <v>49</v>
      </c>
      <c r="L414">
        <v>2</v>
      </c>
      <c r="M414">
        <v>2</v>
      </c>
      <c r="N414">
        <v>0</v>
      </c>
      <c r="O414" t="s">
        <v>49</v>
      </c>
      <c r="P414" t="s">
        <v>50</v>
      </c>
      <c r="Q414" t="s">
        <v>2205</v>
      </c>
      <c r="R414">
        <v>2024</v>
      </c>
      <c r="S414" t="s">
        <v>65</v>
      </c>
      <c r="T414" t="s">
        <v>77</v>
      </c>
      <c r="U414" s="8">
        <v>45642.374467592592</v>
      </c>
      <c r="V414" s="2" t="s">
        <v>2206</v>
      </c>
      <c r="X414" t="s">
        <v>1252</v>
      </c>
      <c r="Z414" t="s">
        <v>807</v>
      </c>
      <c r="AA414">
        <v>3133</v>
      </c>
      <c r="AB414">
        <v>6053675140</v>
      </c>
      <c r="AC414" t="s">
        <v>2207</v>
      </c>
      <c r="AD414"/>
    </row>
    <row r="415" spans="2:43" ht="30" hidden="1">
      <c r="B415">
        <v>12</v>
      </c>
      <c r="C415">
        <v>800061228</v>
      </c>
      <c r="D415" t="s">
        <v>303</v>
      </c>
      <c r="E415" t="s">
        <v>304</v>
      </c>
      <c r="F415">
        <v>800061228</v>
      </c>
      <c r="G415" t="s">
        <v>304</v>
      </c>
      <c r="H415" t="s">
        <v>305</v>
      </c>
      <c r="I415" t="s">
        <v>160</v>
      </c>
      <c r="J415" t="s">
        <v>114</v>
      </c>
      <c r="K415" t="s">
        <v>49</v>
      </c>
      <c r="L415">
        <v>2</v>
      </c>
      <c r="M415">
        <v>2</v>
      </c>
      <c r="N415">
        <v>0</v>
      </c>
      <c r="O415" t="s">
        <v>49</v>
      </c>
      <c r="P415" t="s">
        <v>63</v>
      </c>
      <c r="Q415" t="s">
        <v>2208</v>
      </c>
      <c r="R415">
        <v>2024</v>
      </c>
      <c r="S415" t="s">
        <v>52</v>
      </c>
      <c r="T415" t="s">
        <v>116</v>
      </c>
      <c r="U415" s="8">
        <v>45642.397546296299</v>
      </c>
      <c r="V415" s="2" t="s">
        <v>2209</v>
      </c>
      <c r="X415" t="s">
        <v>1252</v>
      </c>
      <c r="Z415" t="s">
        <v>807</v>
      </c>
      <c r="AA415">
        <v>1320</v>
      </c>
      <c r="AB415">
        <v>4440960</v>
      </c>
      <c r="AC415" t="s">
        <v>308</v>
      </c>
      <c r="AD415"/>
    </row>
    <row r="416" spans="2:43" ht="60" hidden="1">
      <c r="B416">
        <v>12</v>
      </c>
      <c r="C416">
        <v>17842088</v>
      </c>
      <c r="D416" t="s">
        <v>2210</v>
      </c>
      <c r="E416" t="s">
        <v>2211</v>
      </c>
      <c r="F416">
        <v>17842088</v>
      </c>
      <c r="G416" t="s">
        <v>2211</v>
      </c>
      <c r="H416" t="s">
        <v>2212</v>
      </c>
      <c r="I416" t="s">
        <v>2213</v>
      </c>
      <c r="J416" t="s">
        <v>47</v>
      </c>
      <c r="K416" t="s">
        <v>48</v>
      </c>
      <c r="L416">
        <v>2</v>
      </c>
      <c r="M416">
        <v>2</v>
      </c>
      <c r="N416">
        <v>0</v>
      </c>
      <c r="O416" t="s">
        <v>48</v>
      </c>
      <c r="P416" t="s">
        <v>424</v>
      </c>
      <c r="Q416" t="s">
        <v>2214</v>
      </c>
      <c r="R416">
        <v>2024</v>
      </c>
      <c r="S416" t="s">
        <v>190</v>
      </c>
      <c r="T416" t="s">
        <v>713</v>
      </c>
      <c r="U416" s="8">
        <v>45642.413611111115</v>
      </c>
      <c r="V416" s="2" t="s">
        <v>2215</v>
      </c>
      <c r="X416" t="s">
        <v>1252</v>
      </c>
      <c r="Z416" t="s">
        <v>807</v>
      </c>
      <c r="AA416">
        <v>450</v>
      </c>
      <c r="AB416">
        <v>7265953</v>
      </c>
      <c r="AC416" t="s">
        <v>2216</v>
      </c>
      <c r="AD416"/>
    </row>
    <row r="417" spans="1:37" ht="45" hidden="1">
      <c r="B417">
        <v>12</v>
      </c>
      <c r="C417">
        <v>901862949</v>
      </c>
      <c r="D417" t="s">
        <v>2217</v>
      </c>
      <c r="E417" t="s">
        <v>2217</v>
      </c>
      <c r="F417">
        <v>901862949</v>
      </c>
      <c r="G417" t="s">
        <v>2217</v>
      </c>
      <c r="H417" t="s">
        <v>2218</v>
      </c>
      <c r="I417" t="s">
        <v>984</v>
      </c>
      <c r="J417" t="s">
        <v>47</v>
      </c>
      <c r="K417" t="s">
        <v>48</v>
      </c>
      <c r="L417">
        <v>1</v>
      </c>
      <c r="M417">
        <v>1</v>
      </c>
      <c r="N417">
        <v>-1</v>
      </c>
      <c r="O417" t="s">
        <v>48</v>
      </c>
      <c r="P417" t="s">
        <v>291</v>
      </c>
      <c r="Q417" t="s">
        <v>2219</v>
      </c>
      <c r="R417">
        <v>2024</v>
      </c>
      <c r="S417" t="s">
        <v>65</v>
      </c>
      <c r="T417" t="s">
        <v>334</v>
      </c>
      <c r="U417" s="8">
        <v>45643.50136574074</v>
      </c>
      <c r="V417" s="2" t="s">
        <v>2220</v>
      </c>
      <c r="X417" t="s">
        <v>1252</v>
      </c>
      <c r="Z417" t="s">
        <v>807</v>
      </c>
      <c r="AA417">
        <v>3280</v>
      </c>
      <c r="AB417">
        <v>3209493963</v>
      </c>
      <c r="AC417" t="s">
        <v>2221</v>
      </c>
      <c r="AD417"/>
    </row>
    <row r="418" spans="1:37" hidden="1">
      <c r="A418">
        <v>437</v>
      </c>
      <c r="B418">
        <v>12</v>
      </c>
      <c r="C418">
        <v>900429573</v>
      </c>
      <c r="D418" t="s">
        <v>2222</v>
      </c>
      <c r="E418" t="s">
        <v>2222</v>
      </c>
      <c r="F418">
        <v>900429573</v>
      </c>
      <c r="G418" t="s">
        <v>2222</v>
      </c>
      <c r="H418" t="s">
        <v>2223</v>
      </c>
      <c r="I418" t="s">
        <v>96</v>
      </c>
      <c r="J418" t="s">
        <v>47</v>
      </c>
      <c r="K418" t="s">
        <v>48</v>
      </c>
      <c r="L418">
        <v>20</v>
      </c>
      <c r="M418">
        <v>11</v>
      </c>
      <c r="N418">
        <v>18</v>
      </c>
      <c r="O418" t="s">
        <v>49</v>
      </c>
      <c r="P418" t="s">
        <v>97</v>
      </c>
      <c r="Q418" t="s">
        <v>2224</v>
      </c>
      <c r="R418">
        <v>2024</v>
      </c>
      <c r="S418" t="s">
        <v>65</v>
      </c>
      <c r="T418" t="s">
        <v>125</v>
      </c>
      <c r="U418" s="10">
        <v>45644.504664351851</v>
      </c>
      <c r="V418" t="s">
        <v>2225</v>
      </c>
      <c r="X418" t="s">
        <v>55</v>
      </c>
      <c r="Y418" t="s">
        <v>56</v>
      </c>
      <c r="Z418" t="s">
        <v>807</v>
      </c>
      <c r="AA418">
        <v>2011</v>
      </c>
      <c r="AB418">
        <v>8962548</v>
      </c>
      <c r="AC418" t="s">
        <v>2226</v>
      </c>
      <c r="AD418">
        <v>3</v>
      </c>
      <c r="AE418">
        <v>1059</v>
      </c>
      <c r="AF418" t="s">
        <v>319</v>
      </c>
      <c r="AG418">
        <v>287140</v>
      </c>
      <c r="AJ418" t="s">
        <v>2227</v>
      </c>
      <c r="AK418" t="s">
        <v>2228</v>
      </c>
    </row>
    <row r="419" spans="1:37" hidden="1">
      <c r="A419">
        <v>438</v>
      </c>
      <c r="B419">
        <v>12</v>
      </c>
      <c r="C419">
        <v>900727436</v>
      </c>
      <c r="D419" t="s">
        <v>1853</v>
      </c>
      <c r="E419" t="s">
        <v>1853</v>
      </c>
      <c r="F419">
        <v>900727436</v>
      </c>
      <c r="G419" t="s">
        <v>1853</v>
      </c>
      <c r="H419" t="s">
        <v>1683</v>
      </c>
      <c r="I419" t="s">
        <v>1537</v>
      </c>
      <c r="J419" t="s">
        <v>114</v>
      </c>
      <c r="K419" t="s">
        <v>48</v>
      </c>
      <c r="L419">
        <v>19</v>
      </c>
      <c r="M419">
        <v>17</v>
      </c>
      <c r="N419">
        <v>17</v>
      </c>
      <c r="O419" t="s">
        <v>49</v>
      </c>
      <c r="P419" t="s">
        <v>63</v>
      </c>
      <c r="Q419" t="s">
        <v>2229</v>
      </c>
      <c r="R419">
        <v>2024</v>
      </c>
      <c r="S419" t="s">
        <v>52</v>
      </c>
      <c r="T419" t="s">
        <v>116</v>
      </c>
      <c r="U419" s="10">
        <v>45645.44902777778</v>
      </c>
      <c r="V419" t="s">
        <v>2230</v>
      </c>
      <c r="X419" t="s">
        <v>55</v>
      </c>
      <c r="Y419" t="s">
        <v>56</v>
      </c>
      <c r="Z419" t="s">
        <v>807</v>
      </c>
      <c r="AA419">
        <v>2244</v>
      </c>
      <c r="AB419">
        <v>8536522</v>
      </c>
      <c r="AC419" t="s">
        <v>1686</v>
      </c>
      <c r="AD419">
        <v>3</v>
      </c>
      <c r="AE419">
        <v>1028</v>
      </c>
      <c r="AF419" t="s">
        <v>2231</v>
      </c>
      <c r="AG419">
        <v>285981</v>
      </c>
      <c r="AJ419"/>
      <c r="AK419"/>
    </row>
    <row r="420" spans="1:37" hidden="1">
      <c r="A420">
        <v>439</v>
      </c>
      <c r="B420">
        <v>12</v>
      </c>
      <c r="C420">
        <v>814001969</v>
      </c>
      <c r="D420" t="s">
        <v>1701</v>
      </c>
      <c r="E420" t="s">
        <v>1701</v>
      </c>
      <c r="F420">
        <v>814001969</v>
      </c>
      <c r="G420" t="s">
        <v>1701</v>
      </c>
      <c r="H420" t="s">
        <v>1702</v>
      </c>
      <c r="I420" t="s">
        <v>84</v>
      </c>
      <c r="J420" t="s">
        <v>47</v>
      </c>
      <c r="K420" t="s">
        <v>48</v>
      </c>
      <c r="L420">
        <v>19</v>
      </c>
      <c r="M420">
        <v>11</v>
      </c>
      <c r="N420">
        <v>17</v>
      </c>
      <c r="O420" t="s">
        <v>49</v>
      </c>
      <c r="P420" t="s">
        <v>85</v>
      </c>
      <c r="Q420" t="s">
        <v>2232</v>
      </c>
      <c r="R420">
        <v>2024</v>
      </c>
      <c r="S420" t="s">
        <v>52</v>
      </c>
      <c r="T420" t="s">
        <v>53</v>
      </c>
      <c r="U420" s="10">
        <v>45645.621342592596</v>
      </c>
      <c r="V420" t="s">
        <v>2233</v>
      </c>
      <c r="X420" t="s">
        <v>55</v>
      </c>
      <c r="Y420" t="s">
        <v>56</v>
      </c>
      <c r="Z420" t="s">
        <v>807</v>
      </c>
      <c r="AA420">
        <v>1529</v>
      </c>
      <c r="AB420">
        <v>7216668</v>
      </c>
      <c r="AC420" t="s">
        <v>1705</v>
      </c>
      <c r="AD420">
        <v>3</v>
      </c>
      <c r="AE420">
        <v>1055</v>
      </c>
      <c r="AF420" t="s">
        <v>82</v>
      </c>
      <c r="AG420">
        <v>285745</v>
      </c>
      <c r="AH420" t="s">
        <v>2234</v>
      </c>
      <c r="AI420" t="s">
        <v>2235</v>
      </c>
      <c r="AJ420"/>
      <c r="AK420"/>
    </row>
    <row r="421" spans="1:37" hidden="1">
      <c r="A421">
        <v>440</v>
      </c>
      <c r="B421">
        <v>12</v>
      </c>
      <c r="C421">
        <v>890937010</v>
      </c>
      <c r="D421" t="s">
        <v>208</v>
      </c>
      <c r="E421" t="s">
        <v>208</v>
      </c>
      <c r="F421">
        <v>890937010</v>
      </c>
      <c r="G421" t="s">
        <v>208</v>
      </c>
      <c r="H421" t="s">
        <v>210</v>
      </c>
      <c r="I421" t="s">
        <v>211</v>
      </c>
      <c r="J421" t="s">
        <v>47</v>
      </c>
      <c r="K421" t="s">
        <v>48</v>
      </c>
      <c r="L421">
        <v>19</v>
      </c>
      <c r="M421">
        <v>8</v>
      </c>
      <c r="N421">
        <v>17</v>
      </c>
      <c r="O421" t="s">
        <v>49</v>
      </c>
      <c r="P421" t="s">
        <v>63</v>
      </c>
      <c r="Q421" t="s">
        <v>2236</v>
      </c>
      <c r="R421">
        <v>2024</v>
      </c>
      <c r="S421" t="s">
        <v>52</v>
      </c>
      <c r="T421" t="s">
        <v>53</v>
      </c>
      <c r="U421" s="10">
        <v>45645.625254629631</v>
      </c>
      <c r="V421" t="s">
        <v>2237</v>
      </c>
      <c r="X421" t="s">
        <v>55</v>
      </c>
      <c r="Y421" t="s">
        <v>56</v>
      </c>
      <c r="Z421" t="s">
        <v>807</v>
      </c>
      <c r="AA421">
        <v>1775</v>
      </c>
      <c r="AB421">
        <v>4442388</v>
      </c>
      <c r="AC421" t="s">
        <v>214</v>
      </c>
      <c r="AD421">
        <v>3</v>
      </c>
      <c r="AE421">
        <v>1024</v>
      </c>
      <c r="AF421" t="s">
        <v>2231</v>
      </c>
      <c r="AG421">
        <v>287018</v>
      </c>
      <c r="AH421" t="s">
        <v>2238</v>
      </c>
      <c r="AI421" t="s">
        <v>2239</v>
      </c>
      <c r="AJ421"/>
      <c r="AK421"/>
    </row>
    <row r="422" spans="1:37" hidden="1">
      <c r="A422">
        <v>441</v>
      </c>
      <c r="B422">
        <v>12</v>
      </c>
      <c r="C422">
        <v>900909842</v>
      </c>
      <c r="D422" t="s">
        <v>2240</v>
      </c>
      <c r="E422" t="s">
        <v>2241</v>
      </c>
      <c r="F422">
        <v>900909842</v>
      </c>
      <c r="G422" t="s">
        <v>2241</v>
      </c>
      <c r="H422" t="s">
        <v>2242</v>
      </c>
      <c r="I422" t="s">
        <v>2243</v>
      </c>
      <c r="J422" t="s">
        <v>114</v>
      </c>
      <c r="K422" t="s">
        <v>48</v>
      </c>
      <c r="L422">
        <v>19</v>
      </c>
      <c r="M422">
        <v>17</v>
      </c>
      <c r="N422">
        <v>17</v>
      </c>
      <c r="O422" t="s">
        <v>49</v>
      </c>
      <c r="P422" t="s">
        <v>63</v>
      </c>
      <c r="Q422" t="s">
        <v>2244</v>
      </c>
      <c r="R422">
        <v>2024</v>
      </c>
      <c r="S422" t="s">
        <v>52</v>
      </c>
      <c r="T422" t="s">
        <v>116</v>
      </c>
      <c r="U422" s="10">
        <v>45645.630011574074</v>
      </c>
      <c r="V422" t="s">
        <v>2245</v>
      </c>
      <c r="X422" t="s">
        <v>55</v>
      </c>
      <c r="Y422" t="s">
        <v>56</v>
      </c>
      <c r="Z422" t="s">
        <v>807</v>
      </c>
      <c r="AA422">
        <v>2347</v>
      </c>
      <c r="AB422">
        <v>3218128276</v>
      </c>
      <c r="AC422" t="s">
        <v>2246</v>
      </c>
      <c r="AD422">
        <v>3</v>
      </c>
      <c r="AE422">
        <v>1045</v>
      </c>
      <c r="AF422" t="s">
        <v>2061</v>
      </c>
      <c r="AG422">
        <v>285569</v>
      </c>
      <c r="AJ422"/>
      <c r="AK422"/>
    </row>
    <row r="423" spans="1:37" hidden="1">
      <c r="A423">
        <v>442</v>
      </c>
      <c r="B423">
        <v>12</v>
      </c>
      <c r="C423">
        <v>900252652</v>
      </c>
      <c r="D423" t="s">
        <v>215</v>
      </c>
      <c r="E423" t="s">
        <v>216</v>
      </c>
      <c r="F423">
        <v>900252652</v>
      </c>
      <c r="G423" t="s">
        <v>216</v>
      </c>
      <c r="H423" t="s">
        <v>218</v>
      </c>
      <c r="I423" t="s">
        <v>219</v>
      </c>
      <c r="J423" t="s">
        <v>47</v>
      </c>
      <c r="K423" t="s">
        <v>48</v>
      </c>
      <c r="L423">
        <v>18</v>
      </c>
      <c r="M423">
        <v>17</v>
      </c>
      <c r="N423">
        <v>16</v>
      </c>
      <c r="O423" t="s">
        <v>48</v>
      </c>
      <c r="P423" t="s">
        <v>220</v>
      </c>
      <c r="Q423" t="s">
        <v>2247</v>
      </c>
      <c r="R423">
        <v>2024</v>
      </c>
      <c r="S423" t="s">
        <v>65</v>
      </c>
      <c r="T423" t="s">
        <v>293</v>
      </c>
      <c r="U423" s="10">
        <v>45646.370486111111</v>
      </c>
      <c r="V423" t="s">
        <v>2248</v>
      </c>
      <c r="X423" t="s">
        <v>55</v>
      </c>
      <c r="Y423" t="s">
        <v>56</v>
      </c>
      <c r="Z423" t="s">
        <v>807</v>
      </c>
      <c r="AA423">
        <v>1894</v>
      </c>
      <c r="AB423">
        <v>8667438</v>
      </c>
      <c r="AC423" t="s">
        <v>223</v>
      </c>
      <c r="AD423">
        <v>2</v>
      </c>
      <c r="AJ423"/>
      <c r="AK423"/>
    </row>
    <row r="424" spans="1:37" hidden="1">
      <c r="A424">
        <v>443</v>
      </c>
      <c r="B424">
        <v>12</v>
      </c>
      <c r="C424">
        <v>901106152</v>
      </c>
      <c r="D424" t="s">
        <v>2249</v>
      </c>
      <c r="E424" t="s">
        <v>2249</v>
      </c>
      <c r="F424">
        <v>901106152</v>
      </c>
      <c r="G424" t="s">
        <v>2249</v>
      </c>
      <c r="H424" t="s">
        <v>2250</v>
      </c>
      <c r="I424" t="s">
        <v>104</v>
      </c>
      <c r="J424" t="s">
        <v>47</v>
      </c>
      <c r="K424" t="s">
        <v>49</v>
      </c>
      <c r="L424">
        <v>18</v>
      </c>
      <c r="M424">
        <v>18</v>
      </c>
      <c r="N424">
        <v>16</v>
      </c>
      <c r="O424" t="s">
        <v>49</v>
      </c>
      <c r="P424" t="s">
        <v>106</v>
      </c>
      <c r="Q424" t="s">
        <v>2251</v>
      </c>
      <c r="R424">
        <v>2024</v>
      </c>
      <c r="S424" t="s">
        <v>65</v>
      </c>
      <c r="T424" t="s">
        <v>417</v>
      </c>
      <c r="U424" s="10">
        <v>45646.690706018519</v>
      </c>
      <c r="V424" t="s">
        <v>2252</v>
      </c>
      <c r="X424" t="s">
        <v>1252</v>
      </c>
      <c r="Z424" t="s">
        <v>807</v>
      </c>
      <c r="AA424">
        <v>2481</v>
      </c>
      <c r="AB424">
        <v>7192638</v>
      </c>
      <c r="AC424" t="s">
        <v>2253</v>
      </c>
      <c r="AD424">
        <v>3</v>
      </c>
      <c r="AJ424"/>
      <c r="AK424"/>
    </row>
    <row r="425" spans="1:37" hidden="1">
      <c r="A425">
        <v>444</v>
      </c>
      <c r="B425">
        <v>12</v>
      </c>
      <c r="C425">
        <v>900629255</v>
      </c>
      <c r="D425" t="s">
        <v>399</v>
      </c>
      <c r="E425" t="s">
        <v>400</v>
      </c>
      <c r="F425">
        <v>900629255</v>
      </c>
      <c r="G425" t="s">
        <v>400</v>
      </c>
      <c r="H425" t="s">
        <v>401</v>
      </c>
      <c r="I425" t="s">
        <v>402</v>
      </c>
      <c r="J425" t="s">
        <v>47</v>
      </c>
      <c r="K425" t="s">
        <v>48</v>
      </c>
      <c r="L425">
        <v>18</v>
      </c>
      <c r="M425">
        <v>8</v>
      </c>
      <c r="N425">
        <v>16</v>
      </c>
      <c r="O425" t="s">
        <v>48</v>
      </c>
      <c r="P425" t="s">
        <v>63</v>
      </c>
      <c r="Q425" t="s">
        <v>2254</v>
      </c>
      <c r="R425">
        <v>2024</v>
      </c>
      <c r="S425" t="s">
        <v>65</v>
      </c>
      <c r="T425" t="s">
        <v>293</v>
      </c>
      <c r="U425" s="10">
        <v>45646.697881944441</v>
      </c>
      <c r="V425" t="s">
        <v>2255</v>
      </c>
      <c r="X425" t="s">
        <v>55</v>
      </c>
      <c r="Y425" t="s">
        <v>56</v>
      </c>
      <c r="Z425" t="s">
        <v>807</v>
      </c>
      <c r="AA425">
        <v>2180</v>
      </c>
      <c r="AB425">
        <v>3792822</v>
      </c>
      <c r="AC425" t="s">
        <v>405</v>
      </c>
      <c r="AD425">
        <v>2</v>
      </c>
      <c r="AJ425"/>
      <c r="AK425"/>
    </row>
    <row r="426" spans="1:37" hidden="1">
      <c r="A426">
        <v>445</v>
      </c>
      <c r="B426">
        <v>12</v>
      </c>
      <c r="C426">
        <v>10173698</v>
      </c>
      <c r="D426" t="s">
        <v>1673</v>
      </c>
      <c r="E426" t="s">
        <v>1673</v>
      </c>
      <c r="F426">
        <v>10173698</v>
      </c>
      <c r="G426" t="s">
        <v>1673</v>
      </c>
      <c r="H426" t="s">
        <v>1674</v>
      </c>
      <c r="I426" t="s">
        <v>681</v>
      </c>
      <c r="J426" t="s">
        <v>47</v>
      </c>
      <c r="K426" t="s">
        <v>48</v>
      </c>
      <c r="L426">
        <v>15</v>
      </c>
      <c r="M426">
        <v>11</v>
      </c>
      <c r="N426">
        <v>13</v>
      </c>
      <c r="O426" t="s">
        <v>48</v>
      </c>
      <c r="P426" t="s">
        <v>228</v>
      </c>
      <c r="Q426" t="s">
        <v>2256</v>
      </c>
      <c r="R426">
        <v>2024</v>
      </c>
      <c r="S426" t="s">
        <v>52</v>
      </c>
      <c r="T426" t="s">
        <v>1036</v>
      </c>
      <c r="U426" s="10">
        <v>45649.501817129632</v>
      </c>
      <c r="V426" t="s">
        <v>2257</v>
      </c>
      <c r="X426" t="s">
        <v>55</v>
      </c>
      <c r="Y426" t="s">
        <v>56</v>
      </c>
      <c r="Z426" t="s">
        <v>807</v>
      </c>
      <c r="AA426">
        <v>26</v>
      </c>
      <c r="AB426">
        <v>8577004</v>
      </c>
      <c r="AC426" t="s">
        <v>1677</v>
      </c>
      <c r="AD426">
        <v>2</v>
      </c>
      <c r="AE426">
        <v>1061</v>
      </c>
      <c r="AF426" t="s">
        <v>2258</v>
      </c>
      <c r="AG426">
        <v>287190</v>
      </c>
      <c r="AJ426"/>
      <c r="AK426"/>
    </row>
    <row r="427" spans="1:37" hidden="1">
      <c r="A427">
        <v>446</v>
      </c>
      <c r="B427">
        <v>12</v>
      </c>
      <c r="C427">
        <v>21736089</v>
      </c>
      <c r="D427" t="s">
        <v>2259</v>
      </c>
      <c r="E427" t="s">
        <v>2260</v>
      </c>
      <c r="F427">
        <v>21736089</v>
      </c>
      <c r="G427" t="s">
        <v>2260</v>
      </c>
      <c r="H427" t="s">
        <v>2261</v>
      </c>
      <c r="I427" t="s">
        <v>2262</v>
      </c>
      <c r="J427" t="s">
        <v>47</v>
      </c>
      <c r="K427" t="s">
        <v>48</v>
      </c>
      <c r="L427">
        <v>15</v>
      </c>
      <c r="M427">
        <v>15</v>
      </c>
      <c r="N427">
        <v>13</v>
      </c>
      <c r="O427" t="s">
        <v>49</v>
      </c>
      <c r="P427" t="s">
        <v>63</v>
      </c>
      <c r="Q427" t="s">
        <v>2263</v>
      </c>
      <c r="R427">
        <v>2024</v>
      </c>
      <c r="S427" t="s">
        <v>65</v>
      </c>
      <c r="T427" t="s">
        <v>77</v>
      </c>
      <c r="U427" s="10">
        <v>45649.627500000002</v>
      </c>
      <c r="V427" t="s">
        <v>2264</v>
      </c>
      <c r="X427" t="s">
        <v>55</v>
      </c>
      <c r="Y427" t="s">
        <v>56</v>
      </c>
      <c r="Z427" t="s">
        <v>807</v>
      </c>
      <c r="AA427">
        <v>507</v>
      </c>
      <c r="AB427">
        <v>8403363</v>
      </c>
      <c r="AC427" t="s">
        <v>2265</v>
      </c>
      <c r="AD427">
        <v>3</v>
      </c>
      <c r="AJ427"/>
      <c r="AK427"/>
    </row>
    <row r="428" spans="1:37" hidden="1">
      <c r="A428">
        <v>447</v>
      </c>
      <c r="B428">
        <v>12</v>
      </c>
      <c r="C428">
        <v>900383144</v>
      </c>
      <c r="D428" t="s">
        <v>2266</v>
      </c>
      <c r="E428" t="s">
        <v>2266</v>
      </c>
      <c r="F428">
        <v>900383144</v>
      </c>
      <c r="G428" t="s">
        <v>2266</v>
      </c>
      <c r="H428" t="s">
        <v>2267</v>
      </c>
      <c r="I428" t="s">
        <v>348</v>
      </c>
      <c r="J428" t="s">
        <v>47</v>
      </c>
      <c r="K428" t="s">
        <v>48</v>
      </c>
      <c r="L428">
        <v>11</v>
      </c>
      <c r="M428">
        <v>8</v>
      </c>
      <c r="N428">
        <v>9</v>
      </c>
      <c r="O428" t="s">
        <v>49</v>
      </c>
      <c r="P428" t="s">
        <v>349</v>
      </c>
      <c r="Q428" t="s">
        <v>2268</v>
      </c>
      <c r="R428">
        <v>2024</v>
      </c>
      <c r="S428" t="s">
        <v>65</v>
      </c>
      <c r="T428" t="s">
        <v>125</v>
      </c>
      <c r="U428" s="10">
        <v>45653.510983796295</v>
      </c>
      <c r="V428" t="s">
        <v>2269</v>
      </c>
      <c r="X428" t="s">
        <v>55</v>
      </c>
      <c r="Y428" t="s">
        <v>56</v>
      </c>
      <c r="Z428" t="s">
        <v>807</v>
      </c>
      <c r="AA428">
        <v>1969</v>
      </c>
      <c r="AB428">
        <v>6711638</v>
      </c>
      <c r="AC428" t="s">
        <v>2270</v>
      </c>
      <c r="AD428">
        <v>3</v>
      </c>
      <c r="AE428">
        <v>1045</v>
      </c>
      <c r="AF428" t="s">
        <v>2271</v>
      </c>
      <c r="AG428">
        <v>286876</v>
      </c>
      <c r="AH428" t="s">
        <v>2272</v>
      </c>
      <c r="AI428" t="s">
        <v>2273</v>
      </c>
      <c r="AJ428"/>
      <c r="AK428"/>
    </row>
    <row r="429" spans="1:37" hidden="1">
      <c r="A429">
        <v>448</v>
      </c>
      <c r="B429">
        <v>12</v>
      </c>
      <c r="C429">
        <v>70142980</v>
      </c>
      <c r="D429" t="s">
        <v>560</v>
      </c>
      <c r="E429" t="s">
        <v>561</v>
      </c>
      <c r="F429">
        <v>70142980</v>
      </c>
      <c r="G429" t="s">
        <v>561</v>
      </c>
      <c r="H429" t="s">
        <v>562</v>
      </c>
      <c r="I429" t="s">
        <v>61</v>
      </c>
      <c r="J429" t="s">
        <v>114</v>
      </c>
      <c r="K429" t="s">
        <v>48</v>
      </c>
      <c r="L429">
        <v>11</v>
      </c>
      <c r="M429">
        <v>8</v>
      </c>
      <c r="N429">
        <v>9</v>
      </c>
      <c r="O429" t="s">
        <v>49</v>
      </c>
      <c r="P429" t="s">
        <v>265</v>
      </c>
      <c r="Q429" t="s">
        <v>2274</v>
      </c>
      <c r="R429">
        <v>2024</v>
      </c>
      <c r="S429" t="s">
        <v>52</v>
      </c>
      <c r="T429" t="s">
        <v>116</v>
      </c>
      <c r="U429" s="10">
        <v>45653.548425925925</v>
      </c>
      <c r="V429" t="s">
        <v>2275</v>
      </c>
      <c r="X429" t="s">
        <v>55</v>
      </c>
      <c r="Y429" t="s">
        <v>56</v>
      </c>
      <c r="Z429" t="s">
        <v>807</v>
      </c>
      <c r="AA429">
        <v>979</v>
      </c>
      <c r="AB429">
        <v>8393030</v>
      </c>
      <c r="AC429" t="s">
        <v>565</v>
      </c>
      <c r="AD429">
        <v>3</v>
      </c>
      <c r="AE429">
        <v>1045</v>
      </c>
      <c r="AF429" t="s">
        <v>2271</v>
      </c>
      <c r="AG429">
        <v>286947</v>
      </c>
      <c r="AJ429"/>
      <c r="AK429"/>
    </row>
    <row r="430" spans="1:37" hidden="1">
      <c r="A430">
        <v>449</v>
      </c>
      <c r="B430">
        <v>12</v>
      </c>
      <c r="C430">
        <v>891224259</v>
      </c>
      <c r="D430" t="s">
        <v>275</v>
      </c>
      <c r="E430" t="s">
        <v>275</v>
      </c>
      <c r="F430">
        <v>891224259</v>
      </c>
      <c r="G430" t="s">
        <v>275</v>
      </c>
      <c r="H430" t="s">
        <v>277</v>
      </c>
      <c r="I430" t="s">
        <v>84</v>
      </c>
      <c r="J430" t="s">
        <v>114</v>
      </c>
      <c r="K430" t="s">
        <v>48</v>
      </c>
      <c r="L430">
        <v>11</v>
      </c>
      <c r="M430">
        <v>8</v>
      </c>
      <c r="N430">
        <v>9</v>
      </c>
      <c r="O430" t="s">
        <v>49</v>
      </c>
      <c r="P430" t="s">
        <v>85</v>
      </c>
      <c r="Q430" t="s">
        <v>2276</v>
      </c>
      <c r="R430">
        <v>2024</v>
      </c>
      <c r="S430" t="s">
        <v>52</v>
      </c>
      <c r="T430" t="s">
        <v>116</v>
      </c>
      <c r="U430" s="10">
        <v>45653.560173611113</v>
      </c>
      <c r="V430" t="s">
        <v>2277</v>
      </c>
      <c r="X430" t="s">
        <v>55</v>
      </c>
      <c r="Y430" t="s">
        <v>56</v>
      </c>
      <c r="Z430" t="s">
        <v>807</v>
      </c>
      <c r="AA430">
        <v>1788</v>
      </c>
      <c r="AB430">
        <v>7215558</v>
      </c>
      <c r="AC430" t="s">
        <v>280</v>
      </c>
      <c r="AD430">
        <v>3</v>
      </c>
      <c r="AE430">
        <v>1055</v>
      </c>
      <c r="AF430" t="s">
        <v>2278</v>
      </c>
      <c r="AG430">
        <v>286199</v>
      </c>
      <c r="AJ430"/>
      <c r="AK430"/>
    </row>
    <row r="431" spans="1:37" hidden="1">
      <c r="A431">
        <v>450</v>
      </c>
      <c r="B431">
        <v>12</v>
      </c>
      <c r="C431">
        <v>891201261</v>
      </c>
      <c r="D431" t="s">
        <v>2062</v>
      </c>
      <c r="E431" t="s">
        <v>2063</v>
      </c>
      <c r="F431">
        <v>891201261</v>
      </c>
      <c r="G431" t="s">
        <v>2063</v>
      </c>
      <c r="H431" t="s">
        <v>2064</v>
      </c>
      <c r="I431" t="s">
        <v>84</v>
      </c>
      <c r="J431" t="s">
        <v>47</v>
      </c>
      <c r="K431" t="s">
        <v>48</v>
      </c>
      <c r="L431">
        <v>11</v>
      </c>
      <c r="M431">
        <v>8</v>
      </c>
      <c r="N431">
        <v>9</v>
      </c>
      <c r="O431" t="s">
        <v>48</v>
      </c>
      <c r="P431" t="s">
        <v>85</v>
      </c>
      <c r="Q431" t="s">
        <v>2279</v>
      </c>
      <c r="R431">
        <v>2024</v>
      </c>
      <c r="S431" t="s">
        <v>65</v>
      </c>
      <c r="T431" t="s">
        <v>334</v>
      </c>
      <c r="U431" s="10">
        <v>45653.575300925928</v>
      </c>
      <c r="V431" t="s">
        <v>2280</v>
      </c>
      <c r="X431" t="s">
        <v>55</v>
      </c>
      <c r="Y431" t="s">
        <v>56</v>
      </c>
      <c r="Z431" t="s">
        <v>807</v>
      </c>
      <c r="AA431">
        <v>1787</v>
      </c>
      <c r="AB431">
        <v>7244407</v>
      </c>
      <c r="AC431" t="s">
        <v>2067</v>
      </c>
      <c r="AD431">
        <v>2</v>
      </c>
      <c r="AJ431"/>
      <c r="AK431"/>
    </row>
    <row r="432" spans="1:37" hidden="1">
      <c r="A432">
        <v>451</v>
      </c>
      <c r="B432">
        <v>12</v>
      </c>
      <c r="C432">
        <v>12975282</v>
      </c>
      <c r="D432" t="s">
        <v>994</v>
      </c>
      <c r="E432" t="s">
        <v>2281</v>
      </c>
      <c r="F432">
        <v>12975282</v>
      </c>
      <c r="G432" t="s">
        <v>2281</v>
      </c>
      <c r="H432" t="s">
        <v>996</v>
      </c>
      <c r="I432" t="s">
        <v>84</v>
      </c>
      <c r="J432" t="s">
        <v>47</v>
      </c>
      <c r="K432" t="s">
        <v>48</v>
      </c>
      <c r="L432">
        <v>8</v>
      </c>
      <c r="M432">
        <v>8</v>
      </c>
      <c r="N432">
        <v>6</v>
      </c>
      <c r="O432" t="s">
        <v>49</v>
      </c>
      <c r="P432" t="s">
        <v>85</v>
      </c>
      <c r="Q432" t="s">
        <v>2282</v>
      </c>
      <c r="R432">
        <v>2024</v>
      </c>
      <c r="S432" t="s">
        <v>52</v>
      </c>
      <c r="T432" t="s">
        <v>53</v>
      </c>
      <c r="U432" s="10">
        <v>45656.375173611108</v>
      </c>
      <c r="V432" t="s">
        <v>2283</v>
      </c>
      <c r="X432" t="s">
        <v>55</v>
      </c>
      <c r="Y432" t="s">
        <v>56</v>
      </c>
      <c r="Z432" t="s">
        <v>807</v>
      </c>
      <c r="AA432">
        <v>300</v>
      </c>
      <c r="AB432">
        <v>7203174</v>
      </c>
      <c r="AC432" t="s">
        <v>999</v>
      </c>
      <c r="AD432">
        <v>3</v>
      </c>
      <c r="AE432">
        <v>1055</v>
      </c>
      <c r="AF432" t="s">
        <v>2278</v>
      </c>
      <c r="AG432">
        <v>286807</v>
      </c>
      <c r="AJ432"/>
      <c r="AK432"/>
    </row>
    <row r="433" spans="1:37" hidden="1">
      <c r="A433">
        <v>452</v>
      </c>
      <c r="B433">
        <v>12</v>
      </c>
      <c r="C433">
        <v>860515462</v>
      </c>
      <c r="D433" t="s">
        <v>2284</v>
      </c>
      <c r="E433" t="s">
        <v>2285</v>
      </c>
      <c r="F433">
        <v>860515462</v>
      </c>
      <c r="G433" t="s">
        <v>2285</v>
      </c>
      <c r="H433" t="s">
        <v>2286</v>
      </c>
      <c r="I433" t="s">
        <v>104</v>
      </c>
      <c r="J433" t="s">
        <v>47</v>
      </c>
      <c r="K433" t="s">
        <v>48</v>
      </c>
      <c r="L433">
        <v>8</v>
      </c>
      <c r="M433">
        <v>8</v>
      </c>
      <c r="N433">
        <v>6</v>
      </c>
      <c r="O433" t="s">
        <v>48</v>
      </c>
      <c r="P433" t="s">
        <v>106</v>
      </c>
      <c r="Q433" t="s">
        <v>2287</v>
      </c>
      <c r="R433">
        <v>2024</v>
      </c>
      <c r="S433" t="s">
        <v>65</v>
      </c>
      <c r="T433" t="s">
        <v>334</v>
      </c>
      <c r="U433" s="10">
        <v>45656.4065162037</v>
      </c>
      <c r="V433" t="s">
        <v>2288</v>
      </c>
      <c r="X433" t="s">
        <v>55</v>
      </c>
      <c r="Y433" t="s">
        <v>56</v>
      </c>
      <c r="Z433" t="s">
        <v>807</v>
      </c>
      <c r="AA433">
        <v>1655</v>
      </c>
      <c r="AB433">
        <v>3364687</v>
      </c>
      <c r="AC433" t="s">
        <v>2289</v>
      </c>
      <c r="AD433">
        <v>2</v>
      </c>
      <c r="AJ433"/>
      <c r="AK433"/>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Valentina Villa</dc:creator>
  <cp:lastModifiedBy>Valentina Villa</cp:lastModifiedBy>
  <dcterms:created xsi:type="dcterms:W3CDTF">2025-01-08T13:23:30Z</dcterms:created>
  <dcterms:modified xsi:type="dcterms:W3CDTF">2025-01-08T13:27:50Z</dcterms:modified>
</cp:coreProperties>
</file>